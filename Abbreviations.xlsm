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r.kolychev\7_Git\Abbreviations_Excel_VBA\"/>
    </mc:Choice>
  </mc:AlternateContent>
  <bookViews>
    <workbookView xWindow="0" yWindow="0" windowWidth="21570" windowHeight="8145" tabRatio="842"/>
  </bookViews>
  <sheets>
    <sheet name="General" sheetId="2" r:id="rId1"/>
    <sheet name="IgnoreWords" sheetId="23" r:id="rId2"/>
    <sheet name="Button" sheetId="42" r:id="rId3"/>
    <sheet name="cCOREe" sheetId="20" r:id="rId4"/>
    <sheet name="Out" sheetId="31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6" i="2" l="1"/>
  <c r="C190" i="23"/>
  <c r="C22" i="23" l="1"/>
  <c r="C133" i="23"/>
  <c r="C92" i="23"/>
  <c r="C158" i="23"/>
  <c r="C138" i="23"/>
  <c r="C77" i="23"/>
  <c r="C119" i="23"/>
  <c r="C64" i="23"/>
  <c r="C69" i="23"/>
  <c r="E10" i="2"/>
  <c r="E350" i="2"/>
  <c r="E9" i="2"/>
  <c r="E2" i="2"/>
  <c r="E179" i="2"/>
  <c r="E238" i="2"/>
  <c r="E167" i="2"/>
  <c r="C20" i="23" l="1"/>
  <c r="C160" i="23"/>
  <c r="C127" i="23"/>
  <c r="C50" i="23"/>
  <c r="C185" i="23"/>
  <c r="C71" i="23"/>
  <c r="C134" i="23"/>
  <c r="C128" i="23"/>
  <c r="C3" i="23"/>
  <c r="C109" i="23"/>
  <c r="C99" i="23"/>
  <c r="C78" i="23"/>
  <c r="C113" i="23"/>
  <c r="C7" i="23" l="1"/>
  <c r="C184" i="23"/>
  <c r="C98" i="23"/>
  <c r="C93" i="23"/>
  <c r="C118" i="23"/>
  <c r="C183" i="23"/>
  <c r="C28" i="23"/>
  <c r="C18" i="23"/>
  <c r="C16" i="23"/>
  <c r="C41" i="23"/>
  <c r="C131" i="23"/>
  <c r="C173" i="23"/>
  <c r="C79" i="23"/>
  <c r="C17" i="23"/>
  <c r="C42" i="23"/>
  <c r="C91" i="23"/>
  <c r="C21" i="23"/>
  <c r="C55" i="23"/>
  <c r="C189" i="23"/>
  <c r="C70" i="23"/>
  <c r="C5" i="23"/>
  <c r="C135" i="23"/>
  <c r="C186" i="23"/>
  <c r="C8" i="23"/>
  <c r="C31" i="23"/>
  <c r="C27" i="23"/>
  <c r="C2" i="23"/>
  <c r="C12" i="23"/>
  <c r="C30" i="23"/>
  <c r="C35" i="23"/>
  <c r="C97" i="23"/>
  <c r="C48" i="23"/>
  <c r="C102" i="23"/>
  <c r="C120" i="23"/>
  <c r="C144" i="23"/>
  <c r="C101" i="23"/>
  <c r="C84" i="23"/>
  <c r="C178" i="23"/>
  <c r="C83" i="23"/>
  <c r="C56" i="23"/>
  <c r="C25" i="23"/>
  <c r="C132" i="23"/>
  <c r="C106" i="23"/>
  <c r="C172" i="23"/>
  <c r="C159" i="23"/>
  <c r="C105" i="23"/>
  <c r="C141" i="23"/>
  <c r="C139" i="23"/>
  <c r="C58" i="23"/>
  <c r="C143" i="23"/>
  <c r="C52" i="23"/>
  <c r="C155" i="23"/>
  <c r="C75" i="23"/>
  <c r="C176" i="23"/>
  <c r="C36" i="23"/>
  <c r="C62" i="23"/>
  <c r="C175" i="23"/>
  <c r="C121" i="23"/>
  <c r="C187" i="23"/>
  <c r="C146" i="23"/>
  <c r="C151" i="23"/>
  <c r="C44" i="23"/>
  <c r="C116" i="23"/>
  <c r="C46" i="23"/>
  <c r="C13" i="23"/>
  <c r="C37" i="23"/>
  <c r="C114" i="23"/>
  <c r="C74" i="23"/>
  <c r="C104" i="23"/>
  <c r="C150" i="23"/>
  <c r="C162" i="23"/>
  <c r="C147" i="23" l="1"/>
  <c r="C110" i="23"/>
  <c r="C182" i="23"/>
  <c r="C152" i="23"/>
  <c r="C67" i="23"/>
  <c r="C87" i="23"/>
  <c r="C115" i="23"/>
  <c r="C85" i="23"/>
  <c r="C47" i="23"/>
  <c r="C6" i="23"/>
  <c r="C163" i="23"/>
  <c r="C96" i="23"/>
  <c r="C174" i="23"/>
  <c r="C89" i="23"/>
  <c r="C80" i="23"/>
  <c r="C129" i="23"/>
  <c r="C43" i="23"/>
  <c r="C33" i="23"/>
  <c r="C168" i="23"/>
  <c r="C177" i="23"/>
  <c r="C24" i="23"/>
  <c r="C73" i="23"/>
  <c r="C161" i="23"/>
  <c r="C167" i="23"/>
  <c r="C59" i="23"/>
  <c r="C157" i="23"/>
  <c r="C51" i="23"/>
  <c r="C166" i="23"/>
  <c r="C156" i="23"/>
  <c r="C94" i="23"/>
  <c r="C66" i="23"/>
  <c r="C137" i="23"/>
  <c r="C14" i="23"/>
  <c r="C124" i="23"/>
  <c r="C125" i="23"/>
  <c r="C34" i="23"/>
  <c r="C29" i="23"/>
  <c r="C145" i="23"/>
  <c r="C170" i="23"/>
  <c r="C153" i="23"/>
  <c r="C126" i="23"/>
  <c r="C140" i="23"/>
  <c r="C171" i="23"/>
  <c r="C39" i="23"/>
  <c r="C81" i="23"/>
  <c r="C154" i="23"/>
  <c r="C15" i="23"/>
  <c r="C148" i="23"/>
  <c r="C10" i="23"/>
  <c r="C68" i="23"/>
  <c r="C4" i="23"/>
  <c r="C53" i="23"/>
  <c r="C61" i="23"/>
  <c r="C9" i="23"/>
  <c r="C107" i="23"/>
  <c r="C23" i="23"/>
  <c r="C26" i="23"/>
  <c r="C103" i="23"/>
  <c r="C49" i="23"/>
  <c r="C11" i="23"/>
  <c r="C82" i="23"/>
  <c r="C45" i="23"/>
  <c r="C149" i="23"/>
  <c r="C108" i="23"/>
  <c r="C181" i="23"/>
  <c r="C164" i="23"/>
  <c r="C95" i="23"/>
  <c r="C57" i="23"/>
  <c r="C122" i="23"/>
  <c r="C72" i="23"/>
  <c r="C40" i="23"/>
  <c r="C100" i="23"/>
  <c r="C54" i="23"/>
  <c r="C90" i="23"/>
  <c r="C188" i="23"/>
  <c r="C117" i="23"/>
  <c r="C169" i="23"/>
  <c r="C180" i="23"/>
  <c r="C38" i="23"/>
  <c r="C88" i="23"/>
  <c r="C76" i="23"/>
  <c r="C130" i="23" l="1"/>
  <c r="C123" i="23"/>
  <c r="C165" i="23"/>
  <c r="C111" i="23"/>
  <c r="C142" i="23"/>
  <c r="C60" i="23"/>
  <c r="C112" i="23"/>
  <c r="C65" i="23"/>
  <c r="C63" i="23"/>
  <c r="C136" i="23"/>
  <c r="C86" i="23"/>
  <c r="C179" i="23"/>
  <c r="C19" i="23"/>
  <c r="C32" i="23"/>
  <c r="C2" i="31"/>
  <c r="E242" i="2" l="1"/>
  <c r="E245" i="2"/>
  <c r="E251" i="2"/>
  <c r="E253" i="2"/>
  <c r="E256" i="2"/>
  <c r="E265" i="2"/>
  <c r="E267" i="2"/>
  <c r="E269" i="2"/>
  <c r="E274" i="2"/>
  <c r="E283" i="2"/>
  <c r="E298" i="2"/>
  <c r="E301" i="2"/>
  <c r="E311" i="2"/>
  <c r="E326" i="2"/>
  <c r="E331" i="2"/>
  <c r="E333" i="2"/>
  <c r="E336" i="2"/>
  <c r="E343" i="2"/>
  <c r="E347" i="2"/>
  <c r="E349" i="2"/>
  <c r="E352" i="2"/>
  <c r="E354" i="2"/>
  <c r="E362" i="2"/>
  <c r="E364" i="2"/>
  <c r="E368" i="2"/>
  <c r="E370" i="2"/>
  <c r="E374" i="2"/>
  <c r="E383" i="2"/>
  <c r="E387" i="2"/>
  <c r="E398" i="2"/>
  <c r="E400" i="2"/>
  <c r="E404" i="2"/>
  <c r="E411" i="2"/>
  <c r="E413" i="2"/>
  <c r="E419" i="2"/>
  <c r="E422" i="2"/>
  <c r="E423" i="2"/>
  <c r="E429" i="2"/>
  <c r="E434" i="2"/>
  <c r="E435" i="2"/>
  <c r="E437" i="2"/>
  <c r="E440" i="2"/>
  <c r="E446" i="2"/>
  <c r="E449" i="2"/>
  <c r="E453" i="2"/>
  <c r="E27" i="2"/>
  <c r="E340" i="2"/>
  <c r="E26" i="2"/>
  <c r="E28" i="2"/>
  <c r="E42" i="2"/>
  <c r="E46" i="2"/>
  <c r="E49" i="2"/>
  <c r="E53" i="2"/>
  <c r="E57" i="2"/>
  <c r="E59" i="2"/>
  <c r="E61" i="2"/>
  <c r="E73" i="2"/>
  <c r="E77" i="2"/>
  <c r="E88" i="2"/>
  <c r="E90" i="2"/>
  <c r="E92" i="2"/>
  <c r="E95" i="2"/>
  <c r="E103" i="2"/>
  <c r="E107" i="2"/>
  <c r="E109" i="2"/>
  <c r="E112" i="2"/>
  <c r="E118" i="2"/>
  <c r="E120" i="2"/>
  <c r="E133" i="2"/>
  <c r="E138" i="2"/>
  <c r="E142" i="2"/>
  <c r="E154" i="2"/>
  <c r="E162" i="2"/>
  <c r="E171" i="2"/>
  <c r="E173" i="2"/>
  <c r="E178" i="2"/>
  <c r="E192" i="2"/>
  <c r="E194" i="2"/>
  <c r="E198" i="2"/>
  <c r="E203" i="2"/>
  <c r="E206" i="2"/>
  <c r="E207" i="2"/>
  <c r="E209" i="2"/>
  <c r="E214" i="2"/>
  <c r="E217" i="2"/>
  <c r="E221" i="2"/>
  <c r="E399" i="2"/>
  <c r="E3" i="2"/>
  <c r="E5" i="2"/>
  <c r="E12" i="2"/>
  <c r="E14" i="2"/>
  <c r="E22" i="2"/>
  <c r="E13" i="2" l="1"/>
  <c r="E439" i="2"/>
  <c r="E70" i="2"/>
  <c r="E163" i="2" l="1"/>
  <c r="E365" i="2"/>
  <c r="E234" i="2"/>
  <c r="E222" i="2"/>
  <c r="E431" i="2"/>
  <c r="E174" i="2"/>
  <c r="E348" i="2"/>
  <c r="E456" i="2"/>
  <c r="E159" i="2"/>
  <c r="E444" i="2"/>
  <c r="E45" i="2"/>
  <c r="E134" i="2"/>
  <c r="E338" i="2"/>
  <c r="E406" i="2"/>
  <c r="E346" i="2" l="1"/>
  <c r="E275" i="2"/>
  <c r="E395" i="2"/>
  <c r="E145" i="2"/>
  <c r="E68" i="2"/>
  <c r="E360" i="2" l="1"/>
  <c r="E297" i="2"/>
  <c r="E116" i="2"/>
  <c r="E412" i="2" l="1"/>
  <c r="E52" i="2"/>
  <c r="E445" i="2"/>
  <c r="E93" i="2"/>
  <c r="E106" i="2"/>
  <c r="E294" i="2"/>
  <c r="E424" i="2"/>
  <c r="C20" i="20"/>
  <c r="C12" i="20"/>
  <c r="C11" i="20"/>
  <c r="C21" i="20"/>
  <c r="C30" i="20"/>
  <c r="C5" i="20"/>
  <c r="C6" i="20"/>
  <c r="C9" i="20"/>
  <c r="C28" i="20"/>
  <c r="C27" i="20"/>
  <c r="C24" i="20"/>
  <c r="C10" i="20"/>
  <c r="C17" i="20"/>
  <c r="C25" i="20"/>
  <c r="C4" i="20"/>
  <c r="C19" i="20"/>
  <c r="C26" i="20"/>
  <c r="C16" i="20"/>
  <c r="C22" i="20"/>
  <c r="C23" i="20"/>
  <c r="C31" i="20"/>
  <c r="C2" i="20"/>
  <c r="C15" i="20"/>
  <c r="C3" i="20"/>
  <c r="C18" i="20"/>
  <c r="C7" i="20"/>
  <c r="C8" i="20"/>
  <c r="C13" i="20"/>
  <c r="C14" i="20"/>
  <c r="C29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E6" i="2"/>
  <c r="E7" i="2"/>
  <c r="E8" i="2"/>
  <c r="E11" i="2"/>
  <c r="E15" i="2"/>
  <c r="E16" i="2"/>
  <c r="E17" i="2"/>
  <c r="E18" i="2"/>
  <c r="E19" i="2"/>
  <c r="E20" i="2"/>
  <c r="E21" i="2"/>
  <c r="E23" i="2"/>
  <c r="E24" i="2"/>
  <c r="E25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3" i="2"/>
  <c r="E44" i="2"/>
  <c r="E47" i="2"/>
  <c r="E48" i="2"/>
  <c r="E50" i="2"/>
  <c r="E51" i="2"/>
  <c r="E54" i="2"/>
  <c r="E55" i="2"/>
  <c r="E56" i="2"/>
  <c r="E58" i="2"/>
  <c r="E60" i="2"/>
  <c r="E62" i="2"/>
  <c r="E63" i="2"/>
  <c r="E64" i="2"/>
  <c r="E65" i="2"/>
  <c r="E66" i="2"/>
  <c r="E67" i="2"/>
  <c r="E69" i="2"/>
  <c r="E71" i="2"/>
  <c r="E72" i="2"/>
  <c r="E74" i="2"/>
  <c r="E75" i="2"/>
  <c r="E76" i="2"/>
  <c r="E78" i="2"/>
  <c r="E79" i="2"/>
  <c r="E80" i="2"/>
  <c r="E81" i="2"/>
  <c r="E82" i="2"/>
  <c r="E83" i="2"/>
  <c r="E84" i="2"/>
  <c r="E85" i="2"/>
  <c r="E86" i="2"/>
  <c r="E87" i="2"/>
  <c r="E89" i="2"/>
  <c r="E91" i="2"/>
  <c r="E94" i="2"/>
  <c r="E96" i="2"/>
  <c r="E97" i="2"/>
  <c r="E98" i="2"/>
  <c r="E99" i="2"/>
  <c r="E100" i="2"/>
  <c r="E101" i="2"/>
  <c r="E102" i="2"/>
  <c r="E104" i="2"/>
  <c r="E105" i="2"/>
  <c r="E108" i="2"/>
  <c r="E110" i="2"/>
  <c r="E111" i="2"/>
  <c r="E113" i="2"/>
  <c r="E114" i="2"/>
  <c r="E115" i="2"/>
  <c r="E117" i="2"/>
  <c r="E119" i="2"/>
  <c r="E121" i="2"/>
  <c r="E122" i="2"/>
  <c r="E123" i="2"/>
  <c r="E124" i="2"/>
  <c r="E125" i="2"/>
  <c r="E126" i="2"/>
  <c r="E128" i="2"/>
  <c r="E129" i="2"/>
  <c r="E130" i="2"/>
  <c r="E131" i="2"/>
  <c r="E132" i="2"/>
  <c r="E135" i="2"/>
  <c r="E127" i="2"/>
  <c r="E136" i="2"/>
  <c r="E137" i="2"/>
  <c r="E139" i="2"/>
  <c r="E140" i="2"/>
  <c r="E141" i="2"/>
  <c r="E143" i="2"/>
  <c r="E144" i="2"/>
  <c r="E146" i="2"/>
  <c r="E147" i="2"/>
  <c r="E148" i="2"/>
  <c r="E149" i="2"/>
  <c r="E150" i="2"/>
  <c r="E151" i="2"/>
  <c r="E152" i="2"/>
  <c r="E153" i="2"/>
  <c r="E155" i="2"/>
  <c r="E156" i="2"/>
  <c r="E157" i="2"/>
  <c r="E158" i="2"/>
  <c r="E160" i="2"/>
  <c r="E161" i="2"/>
  <c r="E164" i="2"/>
  <c r="E165" i="2"/>
  <c r="E166" i="2"/>
  <c r="E168" i="2"/>
  <c r="E169" i="2"/>
  <c r="E170" i="2"/>
  <c r="E172" i="2"/>
  <c r="E175" i="2"/>
  <c r="E176" i="2"/>
  <c r="E177" i="2"/>
  <c r="E180" i="2"/>
  <c r="E181" i="2"/>
  <c r="E182" i="2"/>
  <c r="E183" i="2"/>
  <c r="E184" i="2"/>
  <c r="E185" i="2"/>
  <c r="E187" i="2"/>
  <c r="E188" i="2"/>
  <c r="E189" i="2"/>
  <c r="E190" i="2"/>
  <c r="E191" i="2"/>
  <c r="E193" i="2"/>
  <c r="E195" i="2"/>
  <c r="E196" i="2"/>
  <c r="E197" i="2"/>
  <c r="E199" i="2"/>
  <c r="E200" i="2"/>
  <c r="E201" i="2"/>
  <c r="E202" i="2"/>
  <c r="E204" i="2"/>
  <c r="E205" i="2"/>
  <c r="E208" i="2"/>
  <c r="E210" i="2"/>
  <c r="E211" i="2"/>
  <c r="E212" i="2"/>
  <c r="E213" i="2"/>
  <c r="E215" i="2"/>
  <c r="E216" i="2"/>
  <c r="E218" i="2"/>
  <c r="E219" i="2"/>
  <c r="E220" i="2"/>
  <c r="E223" i="2"/>
  <c r="E224" i="2"/>
  <c r="E225" i="2"/>
  <c r="E226" i="2"/>
  <c r="E227" i="2"/>
  <c r="E228" i="2"/>
  <c r="E229" i="2"/>
  <c r="E230" i="2"/>
  <c r="E231" i="2"/>
  <c r="E232" i="2"/>
  <c r="E233" i="2"/>
  <c r="E235" i="2"/>
  <c r="E236" i="2"/>
  <c r="E237" i="2"/>
  <c r="E239" i="2"/>
  <c r="E240" i="2"/>
  <c r="E241" i="2"/>
  <c r="E243" i="2"/>
  <c r="E244" i="2"/>
  <c r="E246" i="2"/>
  <c r="E247" i="2"/>
  <c r="E248" i="2"/>
  <c r="E249" i="2"/>
  <c r="E250" i="2"/>
  <c r="E252" i="2"/>
  <c r="E254" i="2"/>
  <c r="E255" i="2"/>
  <c r="E257" i="2"/>
  <c r="E258" i="2"/>
  <c r="E259" i="2"/>
  <c r="E260" i="2"/>
  <c r="E261" i="2"/>
  <c r="E262" i="2"/>
  <c r="E263" i="2"/>
  <c r="E264" i="2"/>
  <c r="E266" i="2"/>
  <c r="E268" i="2"/>
  <c r="E270" i="2"/>
  <c r="E271" i="2"/>
  <c r="E272" i="2"/>
  <c r="E273" i="2"/>
  <c r="E276" i="2"/>
  <c r="E277" i="2"/>
  <c r="E278" i="2"/>
  <c r="E279" i="2"/>
  <c r="E280" i="2"/>
  <c r="E281" i="2"/>
  <c r="E282" i="2"/>
  <c r="E284" i="2"/>
  <c r="E285" i="2"/>
  <c r="E286" i="2"/>
  <c r="E287" i="2"/>
  <c r="E288" i="2"/>
  <c r="E289" i="2"/>
  <c r="E290" i="2"/>
  <c r="E291" i="2"/>
  <c r="E292" i="2"/>
  <c r="E293" i="2"/>
  <c r="E295" i="2"/>
  <c r="E296" i="2"/>
  <c r="E299" i="2"/>
  <c r="E300" i="2"/>
  <c r="E302" i="2"/>
  <c r="E303" i="2"/>
  <c r="E304" i="2"/>
  <c r="E305" i="2"/>
  <c r="E306" i="2"/>
  <c r="E307" i="2"/>
  <c r="E308" i="2"/>
  <c r="E309" i="2"/>
  <c r="E310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7" i="2"/>
  <c r="E328" i="2"/>
  <c r="E329" i="2"/>
  <c r="E330" i="2"/>
  <c r="E332" i="2"/>
  <c r="E334" i="2"/>
  <c r="E335" i="2"/>
  <c r="E337" i="2"/>
  <c r="E339" i="2"/>
  <c r="E341" i="2"/>
  <c r="E342" i="2"/>
  <c r="E344" i="2"/>
  <c r="E345" i="2"/>
  <c r="E351" i="2"/>
  <c r="E353" i="2"/>
  <c r="E355" i="2"/>
  <c r="E356" i="2"/>
  <c r="E357" i="2"/>
  <c r="E358" i="2"/>
  <c r="E359" i="2"/>
  <c r="E361" i="2"/>
  <c r="E363" i="2"/>
  <c r="E366" i="2"/>
  <c r="E367" i="2"/>
  <c r="E369" i="2"/>
  <c r="E371" i="2"/>
  <c r="E372" i="2"/>
  <c r="E373" i="2"/>
  <c r="E375" i="2"/>
  <c r="E376" i="2"/>
  <c r="E377" i="2"/>
  <c r="E378" i="2"/>
  <c r="E379" i="2"/>
  <c r="E380" i="2"/>
  <c r="E381" i="2"/>
  <c r="E382" i="2"/>
  <c r="E384" i="2"/>
  <c r="E385" i="2"/>
  <c r="E386" i="2"/>
  <c r="E388" i="2"/>
  <c r="E389" i="2"/>
  <c r="E390" i="2"/>
  <c r="E391" i="2"/>
  <c r="E392" i="2"/>
  <c r="E393" i="2"/>
  <c r="E394" i="2"/>
  <c r="E396" i="2"/>
  <c r="E397" i="2"/>
  <c r="E401" i="2"/>
  <c r="E402" i="2"/>
  <c r="E403" i="2"/>
  <c r="E405" i="2"/>
  <c r="E407" i="2"/>
  <c r="E408" i="2"/>
  <c r="E409" i="2"/>
  <c r="E410" i="2"/>
  <c r="E414" i="2"/>
  <c r="E415" i="2"/>
  <c r="E416" i="2"/>
  <c r="E417" i="2"/>
  <c r="E418" i="2"/>
  <c r="E420" i="2"/>
  <c r="E421" i="2"/>
  <c r="E425" i="2"/>
  <c r="E426" i="2"/>
  <c r="E427" i="2"/>
  <c r="E428" i="2"/>
  <c r="E430" i="2"/>
  <c r="E432" i="2"/>
  <c r="E433" i="2"/>
  <c r="E436" i="2"/>
  <c r="E438" i="2"/>
  <c r="E441" i="2"/>
  <c r="E442" i="2"/>
  <c r="E443" i="2"/>
  <c r="E447" i="2"/>
  <c r="E448" i="2"/>
  <c r="E450" i="2"/>
  <c r="E451" i="2"/>
  <c r="E452" i="2"/>
  <c r="E454" i="2"/>
  <c r="E455" i="2"/>
  <c r="E457" i="2"/>
  <c r="E458" i="2"/>
  <c r="E4" i="2"/>
  <c r="B190" i="23" l="1"/>
  <c r="B119" i="23"/>
  <c r="B133" i="23"/>
  <c r="B64" i="23"/>
  <c r="B92" i="23"/>
  <c r="B138" i="23"/>
  <c r="B77" i="23"/>
  <c r="B158" i="23"/>
  <c r="B22" i="23"/>
  <c r="B69" i="23"/>
  <c r="B3" i="23"/>
  <c r="B109" i="23"/>
  <c r="B78" i="23"/>
  <c r="B50" i="23"/>
  <c r="B20" i="23"/>
  <c r="B99" i="23"/>
  <c r="B128" i="23"/>
  <c r="B134" i="23"/>
  <c r="B127" i="23"/>
  <c r="B71" i="23"/>
  <c r="B185" i="23"/>
  <c r="B113" i="23"/>
  <c r="B160" i="23"/>
  <c r="B183" i="23"/>
  <c r="B139" i="23"/>
  <c r="B93" i="23"/>
  <c r="B55" i="23"/>
  <c r="B62" i="23"/>
  <c r="B135" i="23"/>
  <c r="B173" i="23"/>
  <c r="B18" i="23"/>
  <c r="B146" i="23"/>
  <c r="B7" i="23"/>
  <c r="B70" i="23"/>
  <c r="B16" i="23"/>
  <c r="B27" i="23"/>
  <c r="B118" i="23"/>
  <c r="B5" i="23"/>
  <c r="B151" i="23"/>
  <c r="B105" i="23"/>
  <c r="B58" i="23"/>
  <c r="B37" i="23"/>
  <c r="B42" i="23"/>
  <c r="B104" i="23"/>
  <c r="B28" i="23"/>
  <c r="B79" i="23"/>
  <c r="B155" i="23"/>
  <c r="B189" i="23"/>
  <c r="B176" i="23"/>
  <c r="B98" i="23"/>
  <c r="B17" i="23"/>
  <c r="B184" i="23"/>
  <c r="B41" i="23"/>
  <c r="B2" i="23"/>
  <c r="B150" i="23"/>
  <c r="B141" i="23"/>
  <c r="B132" i="23"/>
  <c r="B187" i="23"/>
  <c r="B174" i="23"/>
  <c r="B43" i="23"/>
  <c r="B57" i="23"/>
  <c r="B186" i="23"/>
  <c r="B159" i="23"/>
  <c r="B162" i="23"/>
  <c r="B35" i="23"/>
  <c r="B97" i="23"/>
  <c r="B148" i="23"/>
  <c r="B167" i="23"/>
  <c r="B180" i="23"/>
  <c r="B140" i="23"/>
  <c r="B115" i="23"/>
  <c r="B90" i="23"/>
  <c r="B111" i="23"/>
  <c r="B153" i="23"/>
  <c r="B68" i="23"/>
  <c r="B21" i="23"/>
  <c r="B84" i="23"/>
  <c r="B40" i="23"/>
  <c r="B166" i="23"/>
  <c r="B80" i="23"/>
  <c r="B181" i="23"/>
  <c r="B168" i="23"/>
  <c r="B110" i="23"/>
  <c r="B136" i="23"/>
  <c r="B124" i="23"/>
  <c r="B145" i="23"/>
  <c r="B106" i="23"/>
  <c r="B67" i="23"/>
  <c r="B142" i="23"/>
  <c r="B31" i="23"/>
  <c r="B96" i="23"/>
  <c r="B114" i="23"/>
  <c r="B102" i="23"/>
  <c r="B175" i="23"/>
  <c r="B161" i="23"/>
  <c r="B45" i="23"/>
  <c r="B108" i="23"/>
  <c r="B137" i="23"/>
  <c r="B23" i="23"/>
  <c r="B34" i="23"/>
  <c r="B11" i="23"/>
  <c r="B112" i="23"/>
  <c r="B169" i="23"/>
  <c r="B9" i="23"/>
  <c r="B154" i="23"/>
  <c r="B86" i="23"/>
  <c r="B103" i="23"/>
  <c r="B122" i="23"/>
  <c r="B6" i="23"/>
  <c r="B157" i="23"/>
  <c r="B164" i="23"/>
  <c r="B143" i="23"/>
  <c r="B116" i="23"/>
  <c r="B170" i="23"/>
  <c r="B38" i="23"/>
  <c r="B95" i="23"/>
  <c r="B188" i="23"/>
  <c r="B54" i="23"/>
  <c r="B179" i="23"/>
  <c r="B130" i="23"/>
  <c r="B65" i="23"/>
  <c r="B121" i="23"/>
  <c r="B91" i="23"/>
  <c r="B131" i="23"/>
  <c r="B10" i="23"/>
  <c r="B89" i="23"/>
  <c r="B129" i="23"/>
  <c r="B76" i="23"/>
  <c r="B123" i="23"/>
  <c r="B32" i="23"/>
  <c r="B165" i="23"/>
  <c r="B47" i="23"/>
  <c r="B39" i="23"/>
  <c r="B44" i="23"/>
  <c r="B12" i="23"/>
  <c r="B8" i="23"/>
  <c r="B36" i="23"/>
  <c r="B48" i="23"/>
  <c r="B82" i="23"/>
  <c r="B59" i="23"/>
  <c r="B51" i="23"/>
  <c r="B33" i="23"/>
  <c r="B85" i="23"/>
  <c r="B125" i="23"/>
  <c r="B46" i="23"/>
  <c r="B120" i="23"/>
  <c r="B30" i="23"/>
  <c r="B101" i="23"/>
  <c r="B178" i="23"/>
  <c r="B100" i="23"/>
  <c r="B156" i="23"/>
  <c r="B66" i="23"/>
  <c r="B14" i="23"/>
  <c r="B19" i="23"/>
  <c r="B75" i="23"/>
  <c r="B60" i="23"/>
  <c r="B74" i="23"/>
  <c r="B56" i="23"/>
  <c r="B144" i="23"/>
  <c r="B172" i="23"/>
  <c r="B182" i="23"/>
  <c r="B117" i="23"/>
  <c r="B126" i="23"/>
  <c r="B61" i="23"/>
  <c r="B171" i="23"/>
  <c r="B81" i="23"/>
  <c r="B24" i="23"/>
  <c r="B163" i="23"/>
  <c r="B177" i="23"/>
  <c r="B13" i="23"/>
  <c r="B25" i="23"/>
  <c r="B83" i="23"/>
  <c r="B52" i="23"/>
  <c r="B152" i="23"/>
  <c r="B87" i="23"/>
  <c r="B4" i="23"/>
  <c r="B88" i="23"/>
  <c r="B107" i="23"/>
  <c r="B26" i="23"/>
  <c r="B29" i="23"/>
  <c r="B63" i="23"/>
  <c r="B73" i="23"/>
  <c r="B149" i="23"/>
  <c r="B147" i="23"/>
  <c r="B15" i="23"/>
  <c r="B2" i="31"/>
  <c r="B49" i="23"/>
  <c r="B72" i="23"/>
  <c r="B53" i="23"/>
  <c r="B94" i="23"/>
  <c r="B42" i="20"/>
  <c r="B60" i="20"/>
  <c r="B78" i="20"/>
  <c r="B15" i="20"/>
  <c r="B20" i="20"/>
  <c r="B101" i="20"/>
  <c r="B6" i="20"/>
  <c r="B19" i="20"/>
  <c r="B3" i="20"/>
  <c r="B43" i="20"/>
  <c r="B61" i="20"/>
  <c r="B79" i="20"/>
  <c r="B26" i="20"/>
  <c r="B36" i="20"/>
  <c r="B54" i="20"/>
  <c r="B72" i="20"/>
  <c r="B90" i="20"/>
  <c r="B24" i="20"/>
  <c r="B37" i="20"/>
  <c r="B73" i="20"/>
  <c r="B91" i="20"/>
  <c r="B16" i="20"/>
  <c r="B55" i="20"/>
  <c r="B30" i="20"/>
  <c r="B14" i="20"/>
  <c r="B48" i="20"/>
  <c r="B66" i="20"/>
  <c r="B84" i="20"/>
  <c r="B10" i="20"/>
  <c r="B29" i="20"/>
  <c r="B49" i="20"/>
  <c r="B67" i="20"/>
  <c r="B85" i="20"/>
  <c r="B5" i="20"/>
  <c r="B96" i="20"/>
  <c r="B102" i="20"/>
  <c r="B97" i="20"/>
  <c r="B103" i="20"/>
  <c r="B9" i="20"/>
  <c r="B22" i="20"/>
  <c r="B32" i="20"/>
  <c r="B38" i="20"/>
  <c r="B50" i="20"/>
  <c r="B56" i="20"/>
  <c r="B62" i="20"/>
  <c r="B68" i="20"/>
  <c r="B74" i="20"/>
  <c r="B80" i="20"/>
  <c r="B86" i="20"/>
  <c r="B92" i="20"/>
  <c r="B98" i="20"/>
  <c r="B12" i="20"/>
  <c r="B17" i="20"/>
  <c r="B18" i="20"/>
  <c r="B44" i="20"/>
  <c r="B25" i="20"/>
  <c r="B7" i="20"/>
  <c r="B39" i="20"/>
  <c r="B45" i="20"/>
  <c r="B51" i="20"/>
  <c r="B57" i="20"/>
  <c r="B63" i="20"/>
  <c r="B69" i="20"/>
  <c r="B75" i="20"/>
  <c r="B81" i="20"/>
  <c r="B87" i="20"/>
  <c r="B93" i="20"/>
  <c r="B99" i="20"/>
  <c r="B11" i="20"/>
  <c r="B28" i="20"/>
  <c r="B23" i="20"/>
  <c r="B33" i="20"/>
  <c r="B27" i="20"/>
  <c r="B31" i="20"/>
  <c r="B34" i="20"/>
  <c r="B46" i="20"/>
  <c r="B52" i="20"/>
  <c r="B58" i="20"/>
  <c r="B64" i="20"/>
  <c r="B70" i="20"/>
  <c r="B76" i="20"/>
  <c r="B82" i="20"/>
  <c r="B88" i="20"/>
  <c r="B94" i="20"/>
  <c r="B100" i="20"/>
  <c r="B21" i="20"/>
  <c r="B4" i="20"/>
  <c r="B8" i="20"/>
  <c r="B40" i="20"/>
  <c r="B2" i="20"/>
  <c r="B13" i="20"/>
  <c r="B35" i="20"/>
  <c r="B41" i="20"/>
  <c r="B47" i="20"/>
  <c r="B53" i="20"/>
  <c r="B59" i="20"/>
  <c r="B65" i="20"/>
  <c r="B71" i="20"/>
  <c r="B77" i="20"/>
  <c r="B83" i="20"/>
  <c r="B89" i="20"/>
  <c r="B95" i="20"/>
</calcChain>
</file>

<file path=xl/sharedStrings.xml><?xml version="1.0" encoding="utf-8"?>
<sst xmlns="http://schemas.openxmlformats.org/spreadsheetml/2006/main" count="1229" uniqueCount="1151">
  <si>
    <t>ACHE</t>
  </si>
  <si>
    <t>Air Cooler Heat Exchanger</t>
  </si>
  <si>
    <t>Approved for Construction</t>
  </si>
  <si>
    <t>AFD</t>
  </si>
  <si>
    <t>Approved for Design</t>
  </si>
  <si>
    <t>AFU</t>
  </si>
  <si>
    <t>Approved for Use</t>
  </si>
  <si>
    <t>ALARP</t>
  </si>
  <si>
    <t>As Low As Reasonably Practicable</t>
  </si>
  <si>
    <t>ATA</t>
  </si>
  <si>
    <t>Accountable Technical Authority</t>
  </si>
  <si>
    <t>BDEP</t>
  </si>
  <si>
    <t>Basic Design Engineering Package</t>
  </si>
  <si>
    <t>Brownfield</t>
  </si>
  <si>
    <t>BHGE</t>
  </si>
  <si>
    <t>Baker Hughes, a General Electric company</t>
  </si>
  <si>
    <t>BLF</t>
  </si>
  <si>
    <t>BLS</t>
  </si>
  <si>
    <t>BPR</t>
  </si>
  <si>
    <t>Business Performance Review</t>
  </si>
  <si>
    <t>C&amp;P</t>
  </si>
  <si>
    <t>Contracts and Procurement</t>
  </si>
  <si>
    <t>CSRA</t>
  </si>
  <si>
    <t>Cost &amp; Schedule Risk Analysis</t>
  </si>
  <si>
    <t>DC</t>
  </si>
  <si>
    <t>Document Control</t>
  </si>
  <si>
    <t>DCC</t>
  </si>
  <si>
    <t>Document Control Centre</t>
  </si>
  <si>
    <t>DCN</t>
  </si>
  <si>
    <t>DEM</t>
  </si>
  <si>
    <t xml:space="preserve">Design and Engineering Manuals </t>
  </si>
  <si>
    <t>DG</t>
  </si>
  <si>
    <t>Decision Gate</t>
  </si>
  <si>
    <t>DRB</t>
  </si>
  <si>
    <t>Decision Review Board</t>
  </si>
  <si>
    <t>EAC</t>
  </si>
  <si>
    <t>Estimate at Completion</t>
  </si>
  <si>
    <t>EDG</t>
  </si>
  <si>
    <t>Emergency Diesel Generator</t>
  </si>
  <si>
    <t>EP+C</t>
  </si>
  <si>
    <t>Engineering, Procurement plus Construction</t>
  </si>
  <si>
    <t>ETC</t>
  </si>
  <si>
    <t>Estimate to Complete</t>
  </si>
  <si>
    <t>FEED</t>
  </si>
  <si>
    <t>Front End Engineering and Design</t>
  </si>
  <si>
    <t>FKOD</t>
  </si>
  <si>
    <t>Flare Knock Out Drum</t>
  </si>
  <si>
    <t>Greenfield</t>
  </si>
  <si>
    <t>GGC</t>
  </si>
  <si>
    <t>CMMS</t>
  </si>
  <si>
    <t>Computerized Maintenance Management System</t>
  </si>
  <si>
    <t>GGE</t>
  </si>
  <si>
    <t>Glavgosexpertiza</t>
  </si>
  <si>
    <t>Gasprojectengineering</t>
  </si>
  <si>
    <t>GTC</t>
  </si>
  <si>
    <t xml:space="preserve">Gas Turbine Compressor </t>
  </si>
  <si>
    <t>GTT</t>
  </si>
  <si>
    <t>Gazprom Transgas Tomsk</t>
  </si>
  <si>
    <t>GZ</t>
  </si>
  <si>
    <t>Goal Zero</t>
  </si>
  <si>
    <t>HAZID</t>
  </si>
  <si>
    <t>Hazard Identification</t>
  </si>
  <si>
    <t>HP</t>
  </si>
  <si>
    <t>High Pressure</t>
  </si>
  <si>
    <t xml:space="preserve">HSSE&amp;SP </t>
  </si>
  <si>
    <t>Health, safety, security, environment and social performance</t>
  </si>
  <si>
    <t>HV</t>
  </si>
  <si>
    <t>High Voltage</t>
  </si>
  <si>
    <t>IFR</t>
  </si>
  <si>
    <t>Issued for Review</t>
  </si>
  <si>
    <t>IM</t>
  </si>
  <si>
    <t>Information Management</t>
  </si>
  <si>
    <t>Invitation to Bid</t>
  </si>
  <si>
    <t>ITP</t>
  </si>
  <si>
    <t>Inspection Test Protocol</t>
  </si>
  <si>
    <t xml:space="preserve">ITT </t>
  </si>
  <si>
    <t xml:space="preserve">Invitation to Tender </t>
  </si>
  <si>
    <t>IVMS</t>
  </si>
  <si>
    <t>In Vehicle Monitoring System</t>
  </si>
  <si>
    <t>KPI</t>
  </si>
  <si>
    <t>Key Performance Indicator</t>
  </si>
  <si>
    <t>LLI</t>
  </si>
  <si>
    <t>Long Lead Item</t>
  </si>
  <si>
    <t>LoA</t>
  </si>
  <si>
    <t>Letter of Award</t>
  </si>
  <si>
    <t>LoI</t>
  </si>
  <si>
    <t>Letter of Intent</t>
  </si>
  <si>
    <t>LT</t>
  </si>
  <si>
    <t>Leadership Team</t>
  </si>
  <si>
    <t>LTCS</t>
  </si>
  <si>
    <t>Low Temperature Carbon Steel</t>
  </si>
  <si>
    <t>LTIF</t>
  </si>
  <si>
    <t>Lost Time Incidents Frequency</t>
  </si>
  <si>
    <t>MDR</t>
  </si>
  <si>
    <t>Master Document Register</t>
  </si>
  <si>
    <t>MEG</t>
  </si>
  <si>
    <t>Mono Ethylene Glycol</t>
  </si>
  <si>
    <t>MMS</t>
  </si>
  <si>
    <t>Maintenance Management System</t>
  </si>
  <si>
    <t>MNR</t>
  </si>
  <si>
    <t>Ministry of Natural Resources </t>
  </si>
  <si>
    <t>MOC</t>
  </si>
  <si>
    <t>Management of Change, Change</t>
  </si>
  <si>
    <t>MPP</t>
  </si>
  <si>
    <t>Manpower Plan</t>
  </si>
  <si>
    <t>MPPL</t>
  </si>
  <si>
    <t>Multiphase Pipeline</t>
  </si>
  <si>
    <t>MR</t>
  </si>
  <si>
    <t>Materials requisition</t>
  </si>
  <si>
    <t>MTB</t>
  </si>
  <si>
    <t>Major Tender Board</t>
  </si>
  <si>
    <t>NCR</t>
  </si>
  <si>
    <t>Non-Conformity Record</t>
  </si>
  <si>
    <t>NTR</t>
  </si>
  <si>
    <t>Nothing To Report</t>
  </si>
  <si>
    <t>OPF</t>
  </si>
  <si>
    <t>OPFC</t>
  </si>
  <si>
    <t>OR</t>
  </si>
  <si>
    <t>Operations Readiness</t>
  </si>
  <si>
    <t>PCAP</t>
  </si>
  <si>
    <t>Project Controls and Assurance Plan</t>
  </si>
  <si>
    <t>PCRP</t>
  </si>
  <si>
    <t>Project Change Review Panel</t>
  </si>
  <si>
    <t>PDD</t>
  </si>
  <si>
    <t>Project Design Documentation</t>
  </si>
  <si>
    <t>PDMS</t>
  </si>
  <si>
    <t>Plant Design Management System</t>
  </si>
  <si>
    <t>PQD</t>
  </si>
  <si>
    <t>Pre-Qualification Documents</t>
  </si>
  <si>
    <t>PO</t>
  </si>
  <si>
    <t>Purchase Order</t>
  </si>
  <si>
    <t>Purchase requisition</t>
  </si>
  <si>
    <t>POB</t>
  </si>
  <si>
    <t>Personnel on Board</t>
  </si>
  <si>
    <t>Project Services Network</t>
  </si>
  <si>
    <t>RSSC</t>
  </si>
  <si>
    <t>Road Safety Steering Committee</t>
  </si>
  <si>
    <t>PSTS</t>
  </si>
  <si>
    <t>Project Special Technical Specification</t>
  </si>
  <si>
    <t>QMS</t>
  </si>
  <si>
    <t>Quality Management System</t>
  </si>
  <si>
    <t>RAM</t>
  </si>
  <si>
    <t>Risk Assessment Matrix</t>
  </si>
  <si>
    <t>Russian Design Institute</t>
  </si>
  <si>
    <t>REPH</t>
  </si>
  <si>
    <t>REP Holding</t>
  </si>
  <si>
    <t>RFSU</t>
  </si>
  <si>
    <t>Ready for Start Up</t>
  </si>
  <si>
    <t>SCE</t>
  </si>
  <si>
    <t>Safety Critical Element</t>
  </si>
  <si>
    <t>SEIC</t>
  </si>
  <si>
    <t>Sakhalin Energy Investment Company</t>
  </si>
  <si>
    <t>SGC</t>
  </si>
  <si>
    <t>SMNMV</t>
  </si>
  <si>
    <t>SakhalinMorNeftemontazh VECO</t>
  </si>
  <si>
    <t>Scope of Work</t>
  </si>
  <si>
    <t>TB</t>
  </si>
  <si>
    <t>Tender Board</t>
  </si>
  <si>
    <t>TBE</t>
  </si>
  <si>
    <t>Technical Bid Evaluation</t>
  </si>
  <si>
    <t>TCV</t>
  </si>
  <si>
    <t>Total Contract Value</t>
  </si>
  <si>
    <t>Temporary Site Facilities</t>
  </si>
  <si>
    <t xml:space="preserve">UVL  </t>
  </si>
  <si>
    <t>Unverified List</t>
  </si>
  <si>
    <t>VCR</t>
  </si>
  <si>
    <t>VOWD</t>
  </si>
  <si>
    <t>Value of Work Done</t>
  </si>
  <si>
    <t>WHRU</t>
  </si>
  <si>
    <t>Waste Heat Recovery Unit</t>
  </si>
  <si>
    <t>PFML</t>
  </si>
  <si>
    <t>Petrofac Facilities Management Limited</t>
  </si>
  <si>
    <t>PMoC</t>
  </si>
  <si>
    <t>Project Management of Change</t>
  </si>
  <si>
    <t>WP&amp;B</t>
  </si>
  <si>
    <t>Work Programme &amp; Budget</t>
  </si>
  <si>
    <t>YTD</t>
  </si>
  <si>
    <t>Year To Date</t>
  </si>
  <si>
    <t>ME&amp;I</t>
  </si>
  <si>
    <t>Column1</t>
  </si>
  <si>
    <t>HAZOP</t>
  </si>
  <si>
    <t>TIV</t>
  </si>
  <si>
    <t>TIV workshop</t>
  </si>
  <si>
    <t>FY</t>
  </si>
  <si>
    <t>FY LE</t>
  </si>
  <si>
    <t>PMT</t>
  </si>
  <si>
    <t>CMT</t>
  </si>
  <si>
    <t>CCTV</t>
  </si>
  <si>
    <t>CTR</t>
  </si>
  <si>
    <t>EW</t>
  </si>
  <si>
    <t>EP</t>
  </si>
  <si>
    <t>ENMC</t>
  </si>
  <si>
    <t>VDMS</t>
  </si>
  <si>
    <t>TRCF</t>
  </si>
  <si>
    <t>IFA</t>
  </si>
  <si>
    <t>HFE</t>
  </si>
  <si>
    <t>TDR</t>
  </si>
  <si>
    <t>PIM</t>
  </si>
  <si>
    <t>PACO</t>
  </si>
  <si>
    <t>EPC</t>
  </si>
  <si>
    <t>PCW</t>
  </si>
  <si>
    <t>Precomissioning?</t>
  </si>
  <si>
    <t>CSU</t>
  </si>
  <si>
    <t xml:space="preserve">Start-Up on Paper (SUOP) TOR </t>
  </si>
  <si>
    <t xml:space="preserve">SUOP TOR </t>
  </si>
  <si>
    <t>ICSS</t>
  </si>
  <si>
    <t>HAZard and Operability</t>
  </si>
  <si>
    <t>внештатные ситуации и риски</t>
  </si>
  <si>
    <t xml:space="preserve">Technical Integrity Verification </t>
  </si>
  <si>
    <t>проверка технической целостности</t>
  </si>
  <si>
    <t xml:space="preserve">текущая оценка на год </t>
  </si>
  <si>
    <t>Fiscal Year</t>
  </si>
  <si>
    <t>отчетный год</t>
  </si>
  <si>
    <t>Quality Assurance</t>
  </si>
  <si>
    <t>QA</t>
  </si>
  <si>
    <t>проверка качества</t>
  </si>
  <si>
    <t>Project Management Team</t>
  </si>
  <si>
    <t>группа управления проэктом</t>
  </si>
  <si>
    <t>стоимость, время, ресурсы</t>
  </si>
  <si>
    <t>Ethan Propan</t>
  </si>
  <si>
    <t>Electric welding</t>
  </si>
  <si>
    <t>Электросварка</t>
  </si>
  <si>
    <t>смесь этана и пропана</t>
  </si>
  <si>
    <t>Electrical Network Monitoring &amp; Control</t>
  </si>
  <si>
    <t>контроль и управление электрической сетью</t>
  </si>
  <si>
    <t xml:space="preserve">Vendor Master Document Register </t>
  </si>
  <si>
    <t xml:space="preserve">Главный реестр документации поставщика </t>
  </si>
  <si>
    <t>rebar cage</t>
  </si>
  <si>
    <t>арматурный каркас</t>
  </si>
  <si>
    <t>EPC Camp</t>
  </si>
  <si>
    <t>TSF EPC Camp</t>
  </si>
  <si>
    <t>поселок подрядчика (по ПМТСС) ВСО</t>
  </si>
  <si>
    <t>IRP</t>
  </si>
  <si>
    <t>Industry Recommended Practice</t>
  </si>
  <si>
    <t>рекомендованные для промышленности практики работ</t>
  </si>
  <si>
    <t>RFC</t>
  </si>
  <si>
    <t>Interface Register</t>
  </si>
  <si>
    <t>Interface request Register</t>
  </si>
  <si>
    <t>Реестра запросов на сопряжение</t>
  </si>
  <si>
    <t>Спецификации сопряжений (СС)</t>
  </si>
  <si>
    <t>HVAC</t>
  </si>
  <si>
    <t>ОВКВ</t>
  </si>
  <si>
    <t>GFF</t>
  </si>
  <si>
    <t>RFQ</t>
  </si>
  <si>
    <t>запрос на предоставление конкурсного предложения</t>
  </si>
  <si>
    <t>PPE Pipe</t>
  </si>
  <si>
    <t>Polyphenylene pipe</t>
  </si>
  <si>
    <t>пластиковая труба</t>
  </si>
  <si>
    <t>Факел высокого давления</t>
  </si>
  <si>
    <t>установка очистки бытовых сбросов</t>
  </si>
  <si>
    <t>PQR</t>
  </si>
  <si>
    <t>HV switchboard</t>
  </si>
  <si>
    <t>распределительный щит высокого напряжения</t>
  </si>
  <si>
    <t>Запись оценки процедуры (атестация)</t>
  </si>
  <si>
    <t>Non api pumps</t>
  </si>
  <si>
    <t>помпы без интерфейса программирования</t>
  </si>
  <si>
    <t xml:space="preserve">ОТОСБ и СЗ </t>
  </si>
  <si>
    <t>Показатели в области охраны труда,  окружающей среды, безопасности и социальной защиты</t>
  </si>
  <si>
    <t>ASC</t>
  </si>
  <si>
    <t>АСК</t>
  </si>
  <si>
    <t>SGP</t>
  </si>
  <si>
    <t>Сахалингражданпроект</t>
  </si>
  <si>
    <t>основной показатель производственной деятельности</t>
  </si>
  <si>
    <t>PAI</t>
  </si>
  <si>
    <t>Pre-Approval Inspection</t>
  </si>
  <si>
    <t>предрегистрационная инспекция</t>
  </si>
  <si>
    <t xml:space="preserve">GHG </t>
  </si>
  <si>
    <t>Green House Gas</t>
  </si>
  <si>
    <t>парниковые газы</t>
  </si>
  <si>
    <t>piping GA</t>
  </si>
  <si>
    <t>Piping General Arrangement</t>
  </si>
  <si>
    <t>общее устройство трубопровода</t>
  </si>
  <si>
    <t>FAR</t>
  </si>
  <si>
    <t>Rotating Equipment Data Acquisition System</t>
  </si>
  <si>
    <t>Система учета данных по вращающемуся оборудованию</t>
  </si>
  <si>
    <t>RDAS</t>
  </si>
  <si>
    <t>Pre inspection meeting</t>
  </si>
  <si>
    <t>прединспекционная встреча</t>
  </si>
  <si>
    <t>FW</t>
  </si>
  <si>
    <t>Fire water</t>
  </si>
  <si>
    <t>пресноводная вода(пожарная вода)</t>
  </si>
  <si>
    <t>факельный газожидкостный сепаратор</t>
  </si>
  <si>
    <t>GTAw</t>
  </si>
  <si>
    <t>сварка вольфрамовым электродом в газовой среде</t>
  </si>
  <si>
    <t>GMAW</t>
  </si>
  <si>
    <t xml:space="preserve"> газовольфрамовая дуговая сварка</t>
  </si>
  <si>
    <t>FAT</t>
  </si>
  <si>
    <t xml:space="preserve">Sewage Treatment Plant </t>
  </si>
  <si>
    <t>КОС (канализационные очистные сооружения)</t>
  </si>
  <si>
    <t>VDR</t>
  </si>
  <si>
    <t>Pacific Rim Construction (Global)</t>
  </si>
  <si>
    <t>Компания.</t>
  </si>
  <si>
    <t>МРТС кэмп. Поселок подрядчика.</t>
  </si>
  <si>
    <t>RPSG, PR</t>
  </si>
  <si>
    <t>MRTS  camp</t>
  </si>
  <si>
    <t>OPFC TSF</t>
  </si>
  <si>
    <t>Строительный поселок ДКС ОБТК</t>
  </si>
  <si>
    <t>Инженерно строительный поселок</t>
  </si>
  <si>
    <t>CGT</t>
  </si>
  <si>
    <t>Газовая турбина</t>
  </si>
  <si>
    <t>Система УИ (управление информацией)</t>
  </si>
  <si>
    <t>rtn</t>
  </si>
  <si>
    <t>Ростехнадзок</t>
  </si>
  <si>
    <t xml:space="preserve">EDG Package </t>
  </si>
  <si>
    <t>компоненты аварийной дизель-генераторной станции</t>
  </si>
  <si>
    <t xml:space="preserve">сахал. местное помещение управления </t>
  </si>
  <si>
    <t>укрытие HTF</t>
  </si>
  <si>
    <t>HTF Shelter</t>
  </si>
  <si>
    <t>KOD Shelter</t>
  </si>
  <si>
    <t>укрытие сепаратора</t>
  </si>
  <si>
    <t>запрос подтверждения поставщика</t>
  </si>
  <si>
    <t>дефектоскопия</t>
  </si>
  <si>
    <t>eca</t>
  </si>
  <si>
    <t>расчет по критическим параметрам</t>
  </si>
  <si>
    <t>заводские приемочные испытания</t>
  </si>
  <si>
    <t>TCM</t>
  </si>
  <si>
    <t>ORR</t>
  </si>
  <si>
    <t>OAP</t>
  </si>
  <si>
    <t>DAM</t>
  </si>
  <si>
    <t>PLATO</t>
  </si>
  <si>
    <t>SPC</t>
  </si>
  <si>
    <t>PrD</t>
  </si>
  <si>
    <t>ODL POPM</t>
  </si>
  <si>
    <t>ANGS</t>
  </si>
  <si>
    <t>PMS</t>
  </si>
  <si>
    <t>SMEI</t>
  </si>
  <si>
    <t>DE</t>
  </si>
  <si>
    <t>CED</t>
  </si>
  <si>
    <t>RP</t>
  </si>
  <si>
    <t>CPCR</t>
  </si>
  <si>
    <t>LTI</t>
  </si>
  <si>
    <t>RWC</t>
  </si>
  <si>
    <t>MTC</t>
  </si>
  <si>
    <t>PTD</t>
  </si>
  <si>
    <t>LSR</t>
  </si>
  <si>
    <t>DEP</t>
  </si>
  <si>
    <t>HPHC</t>
  </si>
  <si>
    <t>GT HC</t>
  </si>
  <si>
    <t>GT and CC</t>
  </si>
  <si>
    <t>POPM</t>
  </si>
  <si>
    <t>TAT</t>
  </si>
  <si>
    <t>DCS</t>
  </si>
  <si>
    <t>CME&amp;I</t>
  </si>
  <si>
    <t>SMNM-VECO</t>
  </si>
  <si>
    <t>HSE</t>
  </si>
  <si>
    <t>Column3</t>
  </si>
  <si>
    <t>QS</t>
  </si>
  <si>
    <t>T&amp;C</t>
  </si>
  <si>
    <t>SD</t>
  </si>
  <si>
    <t>Shutdown</t>
  </si>
  <si>
    <t>ASSAI</t>
  </si>
  <si>
    <t>Lost Time Incidents</t>
  </si>
  <si>
    <t>Total recordable case frequency</t>
  </si>
  <si>
    <t>Project to date</t>
  </si>
  <si>
    <t>Life saving rules</t>
  </si>
  <si>
    <t>F&amp;G</t>
  </si>
  <si>
    <t>OTS</t>
  </si>
  <si>
    <t>SPI</t>
  </si>
  <si>
    <t>Human Factor Engineering</t>
  </si>
  <si>
    <t>Factory Acceptance Test</t>
  </si>
  <si>
    <t>KOD</t>
  </si>
  <si>
    <t>FO</t>
  </si>
  <si>
    <t>CAT</t>
  </si>
  <si>
    <t>FPD</t>
  </si>
  <si>
    <t>Subcontractor</t>
  </si>
  <si>
    <t>Database system</t>
  </si>
  <si>
    <t>Health, safety, environment</t>
  </si>
  <si>
    <t>Rrestricted work case</t>
  </si>
  <si>
    <t>SOW</t>
  </si>
  <si>
    <t>Caterpillar</t>
  </si>
  <si>
    <t xml:space="preserve">Committee of Executive Directors </t>
  </si>
  <si>
    <t>Combustion gas turbine</t>
  </si>
  <si>
    <t>Terms and Conditions</t>
  </si>
  <si>
    <t xml:space="preserve">Quantity Surveying </t>
  </si>
  <si>
    <t>PS</t>
  </si>
  <si>
    <t xml:space="preserve">Plant automation, control and optimization </t>
  </si>
  <si>
    <t xml:space="preserve">Operator Training System </t>
  </si>
  <si>
    <t>Issued for approval</t>
  </si>
  <si>
    <t>CM&amp;I Products</t>
  </si>
  <si>
    <t>Contractor packaging capability review</t>
  </si>
  <si>
    <t>Commissioning and Start-up</t>
  </si>
  <si>
    <t xml:space="preserve">Design and Engineering Practices </t>
  </si>
  <si>
    <t>CR</t>
  </si>
  <si>
    <t>Concession Requests</t>
  </si>
  <si>
    <t>FTP</t>
  </si>
  <si>
    <t>File Transfer Protocol</t>
  </si>
  <si>
    <t>IDC</t>
  </si>
  <si>
    <t>Inter Discipline Check</t>
  </si>
  <si>
    <t>KOM</t>
  </si>
  <si>
    <t>Kick of Meeting</t>
  </si>
  <si>
    <t>TQ</t>
  </si>
  <si>
    <t>Technical Query</t>
  </si>
  <si>
    <t>Engineering Procurement Construction</t>
  </si>
  <si>
    <t>EDMS</t>
  </si>
  <si>
    <t>Electronic Document Management System</t>
  </si>
  <si>
    <t>PDF</t>
  </si>
  <si>
    <t>Portable Document Format</t>
  </si>
  <si>
    <t>CRS</t>
  </si>
  <si>
    <t>Comment Response Sheet</t>
  </si>
  <si>
    <t>WPS</t>
  </si>
  <si>
    <t>Welding Procedure Specification</t>
  </si>
  <si>
    <t>PQP</t>
  </si>
  <si>
    <t>Project Quality Plan</t>
  </si>
  <si>
    <t>QCP</t>
  </si>
  <si>
    <t>Quality Control Plan</t>
  </si>
  <si>
    <t>SCA</t>
  </si>
  <si>
    <t>Supplier Capability Analysis</t>
  </si>
  <si>
    <t>PFS</t>
  </si>
  <si>
    <t>Process Flow Scheme</t>
  </si>
  <si>
    <t>UFS</t>
  </si>
  <si>
    <t>Utility flow Scheme</t>
  </si>
  <si>
    <t>PEFS</t>
  </si>
  <si>
    <t>Process Engineering Flow Scheme</t>
  </si>
  <si>
    <t>UEFS</t>
  </si>
  <si>
    <t>Utility Engineering Flow Scheme</t>
  </si>
  <si>
    <t>Integrated Control and Safety System</t>
  </si>
  <si>
    <t>SLD</t>
  </si>
  <si>
    <t>Single Line Diagram</t>
  </si>
  <si>
    <t>LOS</t>
  </si>
  <si>
    <t>Line of Sight</t>
  </si>
  <si>
    <t>MCMS</t>
  </si>
  <si>
    <t>Material Control Management System</t>
  </si>
  <si>
    <t>EPSR</t>
  </si>
  <si>
    <t>Electrical Power Supply Requirements</t>
  </si>
  <si>
    <t>TCF</t>
  </si>
  <si>
    <t>Temporary Construction Facilities</t>
  </si>
  <si>
    <t>TSF</t>
  </si>
  <si>
    <t>MoSR</t>
  </si>
  <si>
    <t xml:space="preserve">Weekly review of Security Risks </t>
  </si>
  <si>
    <t>GA</t>
  </si>
  <si>
    <t>CMR</t>
  </si>
  <si>
    <t>EHT</t>
  </si>
  <si>
    <t>LER</t>
  </si>
  <si>
    <t>PAGA</t>
  </si>
  <si>
    <t>NDT</t>
  </si>
  <si>
    <t>AFC</t>
  </si>
  <si>
    <t>Column12</t>
  </si>
  <si>
    <t>ASD</t>
  </si>
  <si>
    <t>CB</t>
  </si>
  <si>
    <t>CPI</t>
  </si>
  <si>
    <t>ER</t>
  </si>
  <si>
    <t>ERT</t>
  </si>
  <si>
    <t>HEMP</t>
  </si>
  <si>
    <t>HFIR</t>
  </si>
  <si>
    <t>IDMR</t>
  </si>
  <si>
    <t>IODB</t>
  </si>
  <si>
    <t>JDMR</t>
  </si>
  <si>
    <t>JSA</t>
  </si>
  <si>
    <t>MTO</t>
  </si>
  <si>
    <t>O &amp; I</t>
  </si>
  <si>
    <t>PSN</t>
  </si>
  <si>
    <t>PSNS</t>
  </si>
  <si>
    <t>PTW</t>
  </si>
  <si>
    <t>PWPS</t>
  </si>
  <si>
    <t>SMNM</t>
  </si>
  <si>
    <t>STP</t>
  </si>
  <si>
    <t>TBT</t>
  </si>
  <si>
    <t>VP</t>
  </si>
  <si>
    <t>BHM</t>
  </si>
  <si>
    <t>ITB</t>
  </si>
  <si>
    <t>PR</t>
  </si>
  <si>
    <t>RDI</t>
  </si>
  <si>
    <t>RPSG</t>
  </si>
  <si>
    <t>Permit to work</t>
  </si>
  <si>
    <t>Project Services Network Sakhalin</t>
  </si>
  <si>
    <t>Абревиатура</t>
  </si>
  <si>
    <t>Расшифровка</t>
  </si>
  <si>
    <t>Абревиатура2</t>
  </si>
  <si>
    <t>Расшифровка3</t>
  </si>
  <si>
    <t>double</t>
  </si>
  <si>
    <t>WMS</t>
  </si>
  <si>
    <t>план выполнения работ</t>
  </si>
  <si>
    <t>OPFC Early Works Contracto</t>
  </si>
  <si>
    <t>ZPGS</t>
  </si>
  <si>
    <t>ВЖП</t>
  </si>
  <si>
    <t>Временный жилей поселок</t>
  </si>
  <si>
    <t/>
  </si>
  <si>
    <t>General Arrangement</t>
  </si>
  <si>
    <t>Общее устройство</t>
  </si>
  <si>
    <t>Higg Voltage switchboard</t>
  </si>
  <si>
    <t>HP FLARE</t>
  </si>
  <si>
    <t xml:space="preserve">SoW  </t>
  </si>
  <si>
    <t xml:space="preserve">Job Safety Analysis </t>
  </si>
  <si>
    <t>Анализ безопасности работ</t>
  </si>
  <si>
    <t>коэффициенты сейсмических отражений, готовность к пусконаладке</t>
  </si>
  <si>
    <t>Onshore Processing Facility Compression Temporary Site Facilities</t>
  </si>
  <si>
    <t xml:space="preserve"> сепаратор нефтесодержащих стоков/сепаратор с гофрированными пластинами/; сепаратор нефтесодержащих стоков</t>
  </si>
  <si>
    <t>Electrical heat tracing</t>
  </si>
  <si>
    <t>Emergency Respond</t>
  </si>
  <si>
    <t xml:space="preserve">Emergency Response Team </t>
  </si>
  <si>
    <t>Hazards and Effects Management Process</t>
  </si>
  <si>
    <t>Ведомость Материалов</t>
  </si>
  <si>
    <t>Public Address and General Alarm</t>
  </si>
  <si>
    <t xml:space="preserve">Система оповещения </t>
  </si>
  <si>
    <t>preliminary welding procedure specification</t>
  </si>
  <si>
    <t>предварительная технологическая карта сварки</t>
  </si>
  <si>
    <t>Tool Box Talk</t>
  </si>
  <si>
    <t>целевой инструктаж</t>
  </si>
  <si>
    <t>PECO</t>
  </si>
  <si>
    <t>HSSE</t>
  </si>
  <si>
    <t>PRC</t>
  </si>
  <si>
    <t>Pacific Rim Construction</t>
  </si>
  <si>
    <t>SC</t>
  </si>
  <si>
    <t>SP</t>
  </si>
  <si>
    <t>CMEI</t>
  </si>
  <si>
    <t>LL</t>
  </si>
  <si>
    <t>BF</t>
  </si>
  <si>
    <t>GF</t>
  </si>
  <si>
    <t xml:space="preserve">Heating, ventilation, and air conditioning </t>
  </si>
  <si>
    <t>ETA</t>
  </si>
  <si>
    <t>HDPE</t>
  </si>
  <si>
    <t>PFP</t>
  </si>
  <si>
    <t>E&amp;I</t>
  </si>
  <si>
    <t>Estimated time of arrival</t>
  </si>
  <si>
    <t>Electrical and Installation</t>
  </si>
  <si>
    <t xml:space="preserve">High Density Polyethylene </t>
  </si>
  <si>
    <t>Passive Fire Protection</t>
  </si>
  <si>
    <t>MRB</t>
  </si>
  <si>
    <t>UT</t>
  </si>
  <si>
    <t>Ultrasonic test</t>
  </si>
  <si>
    <t>ITR</t>
  </si>
  <si>
    <t>Independent technical review</t>
  </si>
  <si>
    <t>PMI</t>
  </si>
  <si>
    <t xml:space="preserve">Planned Maintenance Inspection </t>
  </si>
  <si>
    <t>IR</t>
  </si>
  <si>
    <t xml:space="preserve">Спецификации сопряжений </t>
  </si>
  <si>
    <t>CC</t>
  </si>
  <si>
    <t>российский проектный институт</t>
  </si>
  <si>
    <t xml:space="preserve">Предварительная проработка проекта </t>
  </si>
  <si>
    <t>MTP</t>
  </si>
  <si>
    <t>Материально технические ресурсы</t>
  </si>
  <si>
    <t>IMT</t>
  </si>
  <si>
    <t>PCN</t>
  </si>
  <si>
    <t xml:space="preserve">Process Control Narrative </t>
  </si>
  <si>
    <t>C&amp;I</t>
  </si>
  <si>
    <t>C &amp; I</t>
  </si>
  <si>
    <t>C&amp; I</t>
  </si>
  <si>
    <t>C &amp;I</t>
  </si>
  <si>
    <t>Cost and insurance</t>
  </si>
  <si>
    <t>PCR</t>
  </si>
  <si>
    <t>Incident Management Team</t>
  </si>
  <si>
    <t>FDC</t>
  </si>
  <si>
    <t>C&amp;E</t>
  </si>
  <si>
    <t>C &amp; E</t>
  </si>
  <si>
    <t>C &amp;E</t>
  </si>
  <si>
    <t>C&amp; E</t>
  </si>
  <si>
    <t>Cause &amp; Effect</t>
  </si>
  <si>
    <t>LV</t>
  </si>
  <si>
    <t>SWTP</t>
  </si>
  <si>
    <t xml:space="preserve">Sewage Water Treatment Plant </t>
  </si>
  <si>
    <t>PWHT</t>
  </si>
  <si>
    <t>Post welding heat treatment</t>
  </si>
  <si>
    <t>IRN</t>
  </si>
  <si>
    <t>Inspection Release Note</t>
  </si>
  <si>
    <t>Разрешение на отгрузку</t>
  </si>
  <si>
    <t>FFT</t>
  </si>
  <si>
    <t>Functional field testing</t>
  </si>
  <si>
    <t xml:space="preserve">полученному опыту </t>
  </si>
  <si>
    <t>Long Lead/ Learned lessons</t>
  </si>
  <si>
    <t>реализации проекта</t>
  </si>
  <si>
    <t>POAR</t>
  </si>
  <si>
    <t xml:space="preserve">Запрос на проведение мероприятий по заявке на разработку проекта </t>
  </si>
  <si>
    <t>Врезка, сопряженные работы</t>
  </si>
  <si>
    <t>GREENFIELD</t>
  </si>
  <si>
    <t>FPD/LL</t>
  </si>
  <si>
    <t xml:space="preserve">безупречная реализация проекта/полученный опыт </t>
  </si>
  <si>
    <t>Заявка на материалы</t>
  </si>
  <si>
    <t>Строящийся объект</t>
  </si>
  <si>
    <t>Реконструируемый объект</t>
  </si>
  <si>
    <t>Утверждено к строительству</t>
  </si>
  <si>
    <t>JB</t>
  </si>
  <si>
    <t>соединительная коробка</t>
  </si>
  <si>
    <t>техническое обслуживание системы управления и безопасности</t>
  </si>
  <si>
    <t xml:space="preserve">интегрированная система управления и аварийной защиты </t>
  </si>
  <si>
    <t xml:space="preserve">спецификации процедуры сварочных работ </t>
  </si>
  <si>
    <t>Cost Time Resource</t>
  </si>
  <si>
    <t>Vendor Document Register</t>
  </si>
  <si>
    <t>Procedure Qualification Record</t>
  </si>
  <si>
    <t>Flawless Project Delivery</t>
  </si>
  <si>
    <t>JMP</t>
  </si>
  <si>
    <t xml:space="preserve">Journey Management Plan </t>
  </si>
  <si>
    <t>NERT</t>
  </si>
  <si>
    <t>Нештатная аварийно спасательная команда</t>
  </si>
  <si>
    <t>Low Voltage</t>
  </si>
  <si>
    <t>PAUT</t>
  </si>
  <si>
    <t xml:space="preserve">Phased Array Ultrasonic Testing </t>
  </si>
  <si>
    <t>ультразвуковой контроль (дефектоскопия) методом фазированных решеток</t>
  </si>
  <si>
    <t>Аппаратная</t>
  </si>
  <si>
    <t>Joint Box</t>
  </si>
  <si>
    <t>система управления закупками</t>
  </si>
  <si>
    <t>Доработка технической документации, технические отклонение</t>
  </si>
  <si>
    <t>Construction management team</t>
  </si>
  <si>
    <t>Corrugated plate interceptor (CPI Separator )</t>
  </si>
  <si>
    <t>Engineering critical analysis</t>
  </si>
  <si>
    <t>Fire and gas detection system</t>
  </si>
  <si>
    <t>Fiber optics</t>
  </si>
  <si>
    <t>Gas tungsten arc welding</t>
  </si>
  <si>
    <t>High pressure flare</t>
  </si>
  <si>
    <t xml:space="preserve">Health, safety, security and environment </t>
  </si>
  <si>
    <t>Local equipment room</t>
  </si>
  <si>
    <t xml:space="preserve">Knockout drum </t>
  </si>
  <si>
    <t>Knockout drum Shelter</t>
  </si>
  <si>
    <t>Mechanical, electrical and instrumentation</t>
  </si>
  <si>
    <t>Manufacturing record book</t>
  </si>
  <si>
    <t>Material and technical resources</t>
  </si>
  <si>
    <t xml:space="preserve">Non-destructive test </t>
  </si>
  <si>
    <t>Non-professional emergency response team</t>
  </si>
  <si>
    <t>Operational readiness review</t>
  </si>
  <si>
    <t>Pump station</t>
  </si>
  <si>
    <t>Reflection coefficient, ready for commissioning</t>
  </si>
  <si>
    <t>Request for quotations</t>
  </si>
  <si>
    <t>Rostechnadsor</t>
  </si>
  <si>
    <t>Wor method statement</t>
  </si>
  <si>
    <t>Social performance</t>
  </si>
  <si>
    <t>Supplemental project instruction</t>
  </si>
  <si>
    <t>Sanitary treatment plant</t>
  </si>
  <si>
    <t>P&amp;T</t>
  </si>
  <si>
    <t>WP</t>
  </si>
  <si>
    <t>BOM</t>
  </si>
  <si>
    <t>IFE</t>
  </si>
  <si>
    <t>DS</t>
  </si>
  <si>
    <t>Work Plan</t>
  </si>
  <si>
    <t>Bill of materials </t>
  </si>
  <si>
    <t>issued for enquiry</t>
  </si>
  <si>
    <t>P&amp;ID</t>
  </si>
  <si>
    <t xml:space="preserve">Piping &amp; Instrumentation Diagrams </t>
  </si>
  <si>
    <t>IFI</t>
  </si>
  <si>
    <t>issued for inquiry</t>
  </si>
  <si>
    <t>ERA</t>
  </si>
  <si>
    <t>Logistic Company</t>
  </si>
  <si>
    <t>MDB</t>
  </si>
  <si>
    <t>PTS</t>
  </si>
  <si>
    <t xml:space="preserve">Packaged transformer substation </t>
  </si>
  <si>
    <t>Main distribution board</t>
  </si>
  <si>
    <t>SPMT</t>
  </si>
  <si>
    <t>Self Propelled Module Transporter</t>
  </si>
  <si>
    <t>NDE</t>
  </si>
  <si>
    <t>Nondestructive Examination</t>
  </si>
  <si>
    <t>SRS</t>
  </si>
  <si>
    <t>FHP</t>
  </si>
  <si>
    <t>CDA</t>
  </si>
  <si>
    <t>ROS</t>
  </si>
  <si>
    <t>Project&amp;Technologies</t>
  </si>
  <si>
    <t>Data Sheet</t>
  </si>
  <si>
    <t>Спецификация</t>
  </si>
  <si>
    <t>90% CMR, IDMR and JDMR tag closure are in progress </t>
  </si>
  <si>
    <t>HFIR Tag Closure Completion</t>
  </si>
  <si>
    <t>Field Design Change</t>
  </si>
  <si>
    <t xml:space="preserve"> Gas Metal Arc Welding</t>
  </si>
  <si>
    <t>TPI</t>
  </si>
  <si>
    <t>Third Party Inspection</t>
  </si>
  <si>
    <t>AIC</t>
  </si>
  <si>
    <t>PPG</t>
  </si>
  <si>
    <t>Piling works at compressor A,B,C, Gas Separation Train 1 &amp; 2 ,&amp; FHP/CDA</t>
  </si>
  <si>
    <t>TWI</t>
  </si>
  <si>
    <t>Two way interface</t>
  </si>
  <si>
    <t>Arabic international Company for steel</t>
  </si>
  <si>
    <t>подрядчик по изготовлению металлоконструкций</t>
  </si>
  <si>
    <t>Client Model Review</t>
  </si>
  <si>
    <t>Flare High Pressure</t>
  </si>
  <si>
    <t>Human Factor Engineering Review</t>
  </si>
  <si>
    <t>Inter-Discipline Model Review</t>
  </si>
  <si>
    <t>Joint-Discipline Model Review</t>
  </si>
  <si>
    <t>Required on site</t>
  </si>
  <si>
    <t>Дата, когда нам нужно оборудование на площадке</t>
  </si>
  <si>
    <t>субподрядчик по изготовлению металлоконструкций</t>
  </si>
  <si>
    <t>Piping subcontractor</t>
  </si>
  <si>
    <t>Technical document review</t>
  </si>
  <si>
    <t>RWDC</t>
  </si>
  <si>
    <t xml:space="preserve">Restricted Work Day Cases </t>
  </si>
  <si>
    <t>O&amp;I</t>
  </si>
  <si>
    <t>O&amp; I</t>
  </si>
  <si>
    <t>O &amp;I</t>
  </si>
  <si>
    <t>Наблюдение и Вмешательство</t>
  </si>
  <si>
    <t xml:space="preserve">Observation &amp; Intervention  </t>
  </si>
  <si>
    <t>Closed Circuit Television Camera</t>
  </si>
  <si>
    <t>PUR</t>
  </si>
  <si>
    <t>Process Upset Reporting</t>
  </si>
  <si>
    <t>Competitive Bidding</t>
  </si>
  <si>
    <t>на конкурсной основе</t>
  </si>
  <si>
    <t>давление насыщенных паров</t>
  </si>
  <si>
    <t>Vapour Pressure</t>
  </si>
  <si>
    <t>OMS</t>
  </si>
  <si>
    <t>RMT</t>
  </si>
  <si>
    <t>DBBD</t>
  </si>
  <si>
    <t>TMBV</t>
  </si>
  <si>
    <t>Subcontractor company</t>
  </si>
  <si>
    <t>OSRD</t>
  </si>
  <si>
    <t>Office of Scientific Research and Development</t>
  </si>
  <si>
    <t>ASTM</t>
  </si>
  <si>
    <t>Steel specification standart</t>
  </si>
  <si>
    <t>Valve type</t>
  </si>
  <si>
    <t>Project change request</t>
  </si>
  <si>
    <t>TP</t>
  </si>
  <si>
    <t>PE</t>
  </si>
  <si>
    <t>Technical Plan</t>
  </si>
  <si>
    <t>Preliminary Engineering</t>
  </si>
  <si>
    <t>ESD</t>
  </si>
  <si>
    <t>Emergency Shutdown</t>
  </si>
  <si>
    <t>EDP</t>
  </si>
  <si>
    <t>TBW</t>
  </si>
  <si>
    <t>CHETA</t>
  </si>
  <si>
    <t>VN</t>
  </si>
  <si>
    <t>ОДНОЖИЛЬНЫЙ ВЫСОКОВОЛЬТНЫЙ (КАБЕЛЬ)</t>
  </si>
  <si>
    <t>PT</t>
  </si>
  <si>
    <t>Penetration test</t>
  </si>
  <si>
    <t>Temporary Based Warehouse</t>
  </si>
  <si>
    <t>Emergency De-pressurization</t>
  </si>
  <si>
    <t>Piping Fabrication Subcontractor</t>
  </si>
  <si>
    <t>Battery Limit Station</t>
  </si>
  <si>
    <t>Design Change Notice</t>
  </si>
  <si>
    <t>Giprogazcenter</t>
  </si>
  <si>
    <t>Onshore Processing Facility</t>
  </si>
  <si>
    <t>Onshore Processing Facility Compression</t>
  </si>
  <si>
    <t>StroyGasConsulting</t>
  </si>
  <si>
    <t>GPE</t>
  </si>
  <si>
    <t>HOTT</t>
  </si>
  <si>
    <t>Q&amp;A</t>
  </si>
  <si>
    <t>FCN</t>
  </si>
  <si>
    <t>Field Change Notice</t>
  </si>
  <si>
    <t>TtT</t>
  </si>
  <si>
    <t>VLS</t>
  </si>
  <si>
    <t>PERT</t>
  </si>
  <si>
    <t>Performance evaluation review technique</t>
  </si>
  <si>
    <t>RIM</t>
  </si>
  <si>
    <t>Reputational issues management</t>
  </si>
  <si>
    <t>Y-S</t>
  </si>
  <si>
    <t>IA/N2</t>
  </si>
  <si>
    <t>TA</t>
  </si>
  <si>
    <t>CCB</t>
  </si>
  <si>
    <t>LSB</t>
  </si>
  <si>
    <t>CTP</t>
  </si>
  <si>
    <t>Commissioning test procedures</t>
  </si>
  <si>
    <t>GE</t>
  </si>
  <si>
    <t>GT</t>
  </si>
  <si>
    <t>Gas Turbine</t>
  </si>
  <si>
    <t>AHI</t>
  </si>
  <si>
    <t>SPIR</t>
  </si>
  <si>
    <t>Spare parts interchangibility records</t>
  </si>
  <si>
    <t>TOR</t>
  </si>
  <si>
    <t>ORA</t>
  </si>
  <si>
    <t>Office Of Resource Assistance</t>
  </si>
  <si>
    <t>Distributed Control System</t>
  </si>
  <si>
    <t>RCM</t>
  </si>
  <si>
    <t>RBI</t>
  </si>
  <si>
    <t>Risk based inspection</t>
  </si>
  <si>
    <t>MEI</t>
  </si>
  <si>
    <t>Mechanical Electrical and Instrumentation</t>
  </si>
  <si>
    <t>Training the Trainer</t>
  </si>
  <si>
    <t>Instrument Air / Nitrogen</t>
  </si>
  <si>
    <t>Yuzhno-Sakhalinsk</t>
  </si>
  <si>
    <t>Hand On Toll Training</t>
  </si>
  <si>
    <t>VelesStroy</t>
  </si>
  <si>
    <t>Central Control Building</t>
  </si>
  <si>
    <t>General Electric</t>
  </si>
  <si>
    <t>Quality &amp; Assurance</t>
  </si>
  <si>
    <t>Technical Authority</t>
  </si>
  <si>
    <t>Russian Party</t>
  </si>
  <si>
    <t>High pressure Hydrocarbon</t>
  </si>
  <si>
    <t>Power Distribution panel</t>
  </si>
  <si>
    <t>Reliability Centered Maintenance</t>
  </si>
  <si>
    <t>CWP</t>
  </si>
  <si>
    <t>Construction work pack</t>
  </si>
  <si>
    <t>VAR</t>
  </si>
  <si>
    <t xml:space="preserve">Vehicle Accident Rate </t>
  </si>
  <si>
    <t>AIV</t>
  </si>
  <si>
    <t>Acoustic Induced Vibration</t>
  </si>
  <si>
    <t>SS</t>
  </si>
  <si>
    <t xml:space="preserve">AC &amp; DC </t>
  </si>
  <si>
    <t>Alternate Current Direct Current</t>
  </si>
  <si>
    <t xml:space="preserve">ACHE </t>
  </si>
  <si>
    <t>Air-Cooled Heat Exchanger</t>
  </si>
  <si>
    <t xml:space="preserve">AIC </t>
  </si>
  <si>
    <t>Structural Steel Subcontractor</t>
  </si>
  <si>
    <t xml:space="preserve">AIV </t>
  </si>
  <si>
    <t xml:space="preserve">AVL </t>
  </si>
  <si>
    <t>Approved Vendor List</t>
  </si>
  <si>
    <t>Bor Him Mash (Air Coolers fabrication Subcontractor)</t>
  </si>
  <si>
    <t>Beach Landing Facilities</t>
  </si>
  <si>
    <t xml:space="preserve">CAR </t>
  </si>
  <si>
    <t>Corrective Action Report</t>
  </si>
  <si>
    <t xml:space="preserve">CCMS </t>
  </si>
  <si>
    <t>Completions &amp; Commissioning Management System</t>
  </si>
  <si>
    <t xml:space="preserve">CDA  </t>
  </si>
  <si>
    <t>Closed Drain Area</t>
  </si>
  <si>
    <t xml:space="preserve">CHETA </t>
  </si>
  <si>
    <t>Vendor PTS</t>
  </si>
  <si>
    <t xml:space="preserve">CMMS </t>
  </si>
  <si>
    <t xml:space="preserve">CMR </t>
  </si>
  <si>
    <t xml:space="preserve">CMY </t>
  </si>
  <si>
    <t>name of potential sub- contractor for structural steel ACHE</t>
  </si>
  <si>
    <t xml:space="preserve">DBBD </t>
  </si>
  <si>
    <t>Double Block and Bleed Valve</t>
  </si>
  <si>
    <t xml:space="preserve">DCN </t>
  </si>
  <si>
    <t>Documentation</t>
  </si>
  <si>
    <t xml:space="preserve">ECA </t>
  </si>
  <si>
    <t>PAUT for ACHE subcontractor</t>
  </si>
  <si>
    <t xml:space="preserve">EDG </t>
  </si>
  <si>
    <t xml:space="preserve">EHT </t>
  </si>
  <si>
    <t>Extra High Tension</t>
  </si>
  <si>
    <t xml:space="preserve">ER </t>
  </si>
  <si>
    <t>Emergency Response</t>
  </si>
  <si>
    <t xml:space="preserve">E-SPIR </t>
  </si>
  <si>
    <t>Electronic Spare Parts Interchangeability Record</t>
  </si>
  <si>
    <t xml:space="preserve">ETA </t>
  </si>
  <si>
    <t>Expected Time of Arrival</t>
  </si>
  <si>
    <t>F&amp; G</t>
  </si>
  <si>
    <t>Fuel and Gas</t>
  </si>
  <si>
    <t>Field Auxiliary Room</t>
  </si>
  <si>
    <t xml:space="preserve">FDD </t>
  </si>
  <si>
    <t>Field Design Drawings</t>
  </si>
  <si>
    <t xml:space="preserve">FEED </t>
  </si>
  <si>
    <t>Front end engineering design</t>
  </si>
  <si>
    <t xml:space="preserve">GAD </t>
  </si>
  <si>
    <t>General Arrangement Drawing</t>
  </si>
  <si>
    <t xml:space="preserve">GGC </t>
  </si>
  <si>
    <t>Gate/Globe/Check Valve</t>
  </si>
  <si>
    <t xml:space="preserve">GMP </t>
  </si>
  <si>
    <t>Grade Mounted Platform</t>
  </si>
  <si>
    <t xml:space="preserve">HAZOP </t>
  </si>
  <si>
    <t>Hazard And Operability Study</t>
  </si>
  <si>
    <t xml:space="preserve">HPF (FHP) </t>
  </si>
  <si>
    <t>High Pressure Flare</t>
  </si>
  <si>
    <t xml:space="preserve">HV/LV </t>
  </si>
  <si>
    <t>High Voltage/Low Voltage</t>
  </si>
  <si>
    <t xml:space="preserve">HVAC </t>
  </si>
  <si>
    <t>Heating, Ventilation, and Air Conditioning</t>
  </si>
  <si>
    <t xml:space="preserve">IDMR </t>
  </si>
  <si>
    <t>Input Output Database</t>
  </si>
  <si>
    <t xml:space="preserve">IRN </t>
  </si>
  <si>
    <t xml:space="preserve">IRP </t>
  </si>
  <si>
    <t>Incidence Response Plan</t>
  </si>
  <si>
    <t xml:space="preserve">ITR </t>
  </si>
  <si>
    <t>Inspection and Test Record</t>
  </si>
  <si>
    <t xml:space="preserve">JDMR </t>
  </si>
  <si>
    <t xml:space="preserve">JSA </t>
  </si>
  <si>
    <t>Job Safety Analysis</t>
  </si>
  <si>
    <t xml:space="preserve">KCV </t>
  </si>
  <si>
    <t>Key Control Values</t>
  </si>
  <si>
    <t xml:space="preserve">KOD </t>
  </si>
  <si>
    <t>Knock Out Drum</t>
  </si>
  <si>
    <t xml:space="preserve">LER </t>
  </si>
  <si>
    <t>Local Electric Room</t>
  </si>
  <si>
    <t xml:space="preserve">LLI </t>
  </si>
  <si>
    <t>Long Lead Items</t>
  </si>
  <si>
    <t>LS</t>
  </si>
  <si>
    <t>Loop Section</t>
  </si>
  <si>
    <t xml:space="preserve">MPT </t>
  </si>
  <si>
    <t>Magnetic Partial Test</t>
  </si>
  <si>
    <t xml:space="preserve">MRB </t>
  </si>
  <si>
    <t>Manufacturing Record Book</t>
  </si>
  <si>
    <t>Material Take Off</t>
  </si>
  <si>
    <t xml:space="preserve">NAKS </t>
  </si>
  <si>
    <t>National Agency of Non-Destructive Testing and Welding</t>
  </si>
  <si>
    <t xml:space="preserve">NCR </t>
  </si>
  <si>
    <t>Non-Conformance Report</t>
  </si>
  <si>
    <t xml:space="preserve">NDT </t>
  </si>
  <si>
    <t>Nondestructive Testing</t>
  </si>
  <si>
    <t>ODL (POPMs)</t>
  </si>
  <si>
    <t>ODL is sub contractor’s name. Plant Operating Procedure Manual</t>
  </si>
  <si>
    <t>OMAR</t>
  </si>
  <si>
    <t>Operating Modes And Assurance Review</t>
  </si>
  <si>
    <t xml:space="preserve">OMS Salery </t>
  </si>
  <si>
    <t xml:space="preserve">ACHE Valves Vendor </t>
  </si>
  <si>
    <t>OR Plan</t>
  </si>
  <si>
    <t>Operation Readiness Plan</t>
  </si>
  <si>
    <t xml:space="preserve">PAGA </t>
  </si>
  <si>
    <t>Public Addressing General Alarm</t>
  </si>
  <si>
    <t xml:space="preserve">PERT </t>
  </si>
  <si>
    <t>Project Emergency Response Team</t>
  </si>
  <si>
    <t xml:space="preserve">PFP </t>
  </si>
  <si>
    <t>Piping Material Specification</t>
  </si>
  <si>
    <t xml:space="preserve">PO </t>
  </si>
  <si>
    <t xml:space="preserve">PSNS </t>
  </si>
  <si>
    <t>OPF Brownfield Engineering Subcontractor</t>
  </si>
  <si>
    <t xml:space="preserve">PTS </t>
  </si>
  <si>
    <t>Package Transformer Substation</t>
  </si>
  <si>
    <t xml:space="preserve">PTW </t>
  </si>
  <si>
    <t>Permit to Work</t>
  </si>
  <si>
    <t xml:space="preserve">PWHT </t>
  </si>
  <si>
    <t>Post Weld Heat Treatment</t>
  </si>
  <si>
    <t xml:space="preserve">QRIS </t>
  </si>
  <si>
    <t>Quality Rating and Improvement System</t>
  </si>
  <si>
    <t xml:space="preserve">RBI </t>
  </si>
  <si>
    <t xml:space="preserve">RCM </t>
  </si>
  <si>
    <t>Recommended Control Measures</t>
  </si>
  <si>
    <t xml:space="preserve">RDAS </t>
  </si>
  <si>
    <t xml:space="preserve">RDI </t>
  </si>
  <si>
    <t xml:space="preserve">RMT </t>
  </si>
  <si>
    <t>ACHE Valves Vendor</t>
  </si>
  <si>
    <t xml:space="preserve">ROS </t>
  </si>
  <si>
    <t>Required On Site</t>
  </si>
  <si>
    <t xml:space="preserve">RPSGG </t>
  </si>
  <si>
    <t>RPSG Global (Catering and TSF subcontractor)</t>
  </si>
  <si>
    <t xml:space="preserve">RT </t>
  </si>
  <si>
    <t>Radiographic Test</t>
  </si>
  <si>
    <t xml:space="preserve">S&amp;T </t>
  </si>
  <si>
    <t>Supply and Transportation (subcontractor)</t>
  </si>
  <si>
    <t xml:space="preserve">SI </t>
  </si>
  <si>
    <t>Site Instruction</t>
  </si>
  <si>
    <t xml:space="preserve">SMNM </t>
  </si>
  <si>
    <t>Sakhalin Mor Nefte Montazh (BLS early works subcontractor)</t>
  </si>
  <si>
    <t xml:space="preserve">SRS </t>
  </si>
  <si>
    <t xml:space="preserve">STEP </t>
  </si>
  <si>
    <t>Safety Training Education Program</t>
  </si>
  <si>
    <t xml:space="preserve">SWTP </t>
  </si>
  <si>
    <t>Sewage Water Treatment Plant</t>
  </si>
  <si>
    <t xml:space="preserve">TBT </t>
  </si>
  <si>
    <t>Team Building Tournament</t>
  </si>
  <si>
    <t xml:space="preserve">TBW </t>
  </si>
  <si>
    <t>Temporary Base Warehouse</t>
  </si>
  <si>
    <t xml:space="preserve">TIV </t>
  </si>
  <si>
    <t>Technical Integrity Verification</t>
  </si>
  <si>
    <t xml:space="preserve">TMBV </t>
  </si>
  <si>
    <t>Manual Balancing Valve</t>
  </si>
  <si>
    <t>Term of Reference</t>
  </si>
  <si>
    <t xml:space="preserve">TSF </t>
  </si>
  <si>
    <t xml:space="preserve">UPS </t>
  </si>
  <si>
    <t>Uninterrupted Power Supply</t>
  </si>
  <si>
    <t xml:space="preserve">UT </t>
  </si>
  <si>
    <t>Ultrasonic Test</t>
  </si>
  <si>
    <t>VCI (or VpCI)</t>
  </si>
  <si>
    <t>Vapor phase Corrosion Inhibitor</t>
  </si>
  <si>
    <t>Vendor Co-session Request </t>
  </si>
  <si>
    <t xml:space="preserve">VO </t>
  </si>
  <si>
    <t>Variation Order</t>
  </si>
  <si>
    <t xml:space="preserve">VR </t>
  </si>
  <si>
    <t>Variation Request</t>
  </si>
  <si>
    <t xml:space="preserve">WP </t>
  </si>
  <si>
    <t>Work Package</t>
  </si>
  <si>
    <t>ArcticNefteGasStroy Early Civil Works Subcontractor</t>
  </si>
  <si>
    <t>BLA</t>
  </si>
  <si>
    <t>Transformator Substation</t>
  </si>
  <si>
    <t>Beach Landing Activities</t>
  </si>
  <si>
    <t>CONCLUSION</t>
  </si>
  <si>
    <t>BY</t>
  </si>
  <si>
    <t>THE</t>
  </si>
  <si>
    <t>SECTION</t>
  </si>
  <si>
    <t>MRs</t>
  </si>
  <si>
    <t>PROBLEMATIC</t>
  </si>
  <si>
    <t>ISSUES</t>
  </si>
  <si>
    <t>PLANS</t>
  </si>
  <si>
    <t>EY</t>
  </si>
  <si>
    <t>EVENTS</t>
  </si>
  <si>
    <t>FOR</t>
  </si>
  <si>
    <t>NEXT</t>
  </si>
  <si>
    <t>PERIOD</t>
  </si>
  <si>
    <t>Abbreviation</t>
  </si>
  <si>
    <t>Decoding</t>
  </si>
  <si>
    <t>Double</t>
  </si>
  <si>
    <t>SD2020</t>
  </si>
  <si>
    <t>TOTALS</t>
  </si>
  <si>
    <t>PHYSICAL</t>
  </si>
  <si>
    <t>SAKHALIN</t>
  </si>
  <si>
    <t>PROJECT</t>
  </si>
  <si>
    <t>MONTHLY</t>
  </si>
  <si>
    <t>UNIFIED</t>
  </si>
  <si>
    <t>REPORTING</t>
  </si>
  <si>
    <t>FORM</t>
  </si>
  <si>
    <t>JULY</t>
  </si>
  <si>
    <t>DOCUMENT</t>
  </si>
  <si>
    <t>REVISIONS</t>
  </si>
  <si>
    <t>HISTORY</t>
  </si>
  <si>
    <t>TABLE</t>
  </si>
  <si>
    <t>OF</t>
  </si>
  <si>
    <t>CONTENTS</t>
  </si>
  <si>
    <t>INTRODUCTION</t>
  </si>
  <si>
    <t>DEFINITIONS</t>
  </si>
  <si>
    <t>AND</t>
  </si>
  <si>
    <t>ABBREVIATIONS</t>
  </si>
  <si>
    <t>SUMMARY</t>
  </si>
  <si>
    <t>SCHEDULE</t>
  </si>
  <si>
    <t>LIST</t>
  </si>
  <si>
    <t>STATUS</t>
  </si>
  <si>
    <t>KEY</t>
  </si>
  <si>
    <t>INDICATORS</t>
  </si>
  <si>
    <t>PHOTOGRAMMETRY</t>
  </si>
  <si>
    <t>CURRENT</t>
  </si>
  <si>
    <t>CONSTRUCTION</t>
  </si>
  <si>
    <t>CONDITION</t>
  </si>
  <si>
    <t>SERVICES</t>
  </si>
  <si>
    <t>TECHNICAL</t>
  </si>
  <si>
    <t>CHARACTERISTICS</t>
  </si>
  <si>
    <t>HEALTH</t>
  </si>
  <si>
    <t>SAFETY</t>
  </si>
  <si>
    <t>SECURITY</t>
  </si>
  <si>
    <t>ENVIRONMENT</t>
  </si>
  <si>
    <t>RISK</t>
  </si>
  <si>
    <t>DESIGN</t>
  </si>
  <si>
    <t>PROGRESS</t>
  </si>
  <si>
    <t>PROCESS</t>
  </si>
  <si>
    <t>SECURING</t>
  </si>
  <si>
    <t>RIGHTS</t>
  </si>
  <si>
    <t>LAND</t>
  </si>
  <si>
    <t>FOREST</t>
  </si>
  <si>
    <t>PLOTS</t>
  </si>
  <si>
    <t>AVAILABILITY</t>
  </si>
  <si>
    <t>PERMIT</t>
  </si>
  <si>
    <t>PERMITS</t>
  </si>
  <si>
    <t>CONSENTS</t>
  </si>
  <si>
    <t>OVERALL</t>
  </si>
  <si>
    <t>COMPLETENESS</t>
  </si>
  <si>
    <t>PROCUREMENTS</t>
  </si>
  <si>
    <t>STAFF</t>
  </si>
  <si>
    <t>RESOURCES</t>
  </si>
  <si>
    <t>PERSONNEL</t>
  </si>
  <si>
    <t>NUMBER</t>
  </si>
  <si>
    <t>PRECOMISSIONING</t>
  </si>
  <si>
    <t>STARTUP</t>
  </si>
  <si>
    <t>CONTROL</t>
  </si>
  <si>
    <t>INFORMATION</t>
  </si>
  <si>
    <t>REVEALED</t>
  </si>
  <si>
    <t>BREACHES</t>
  </si>
  <si>
    <t>QUALITY</t>
  </si>
  <si>
    <t>ASSURANCE</t>
  </si>
  <si>
    <t>GENERAL</t>
  </si>
  <si>
    <t>ACCEPTANCE</t>
  </si>
  <si>
    <t>DOCUMENTATION</t>
  </si>
  <si>
    <t>EXECUTION</t>
  </si>
  <si>
    <t>ASSIGNMENTS</t>
  </si>
  <si>
    <t>MILLER</t>
  </si>
  <si>
    <t>CHAIRMAN</t>
  </si>
  <si>
    <t>MANAGEMENT</t>
  </si>
  <si>
    <t>COMMITTEE</t>
  </si>
  <si>
    <t>MARKELOV</t>
  </si>
  <si>
    <t>DEPUTY</t>
  </si>
  <si>
    <t>ATTACHMENT</t>
  </si>
  <si>
    <t>INITIAL</t>
  </si>
  <si>
    <t>DATA</t>
  </si>
  <si>
    <t>REFERENCES</t>
  </si>
  <si>
    <t>MODEL</t>
  </si>
  <si>
    <t>YUZHNO</t>
  </si>
  <si>
    <t>OFFICE</t>
  </si>
  <si>
    <t>SITE</t>
  </si>
  <si>
    <t>TOTAL</t>
  </si>
  <si>
    <t>CONTRACTOR</t>
  </si>
  <si>
    <t>JUNE</t>
  </si>
  <si>
    <t>HOURS</t>
  </si>
  <si>
    <t>DRIVEN</t>
  </si>
  <si>
    <t>KILOMETRES</t>
  </si>
  <si>
    <t>LEAD</t>
  </si>
  <si>
    <t>ENGAGE</t>
  </si>
  <si>
    <t>PEOPLE</t>
  </si>
  <si>
    <t>HAZARDS</t>
  </si>
  <si>
    <t>CONTROLS</t>
  </si>
  <si>
    <t>MAJOR</t>
  </si>
  <si>
    <t>Not Abbreviation</t>
  </si>
  <si>
    <t>QC</t>
  </si>
  <si>
    <t>MASTER</t>
  </si>
  <si>
    <t>REGISTER</t>
  </si>
  <si>
    <t>WEEKLY</t>
  </si>
  <si>
    <t>REPORT</t>
  </si>
  <si>
    <t>CUT</t>
  </si>
  <si>
    <t>OFF</t>
  </si>
  <si>
    <t>DATE</t>
  </si>
  <si>
    <t>AUG</t>
  </si>
  <si>
    <t>CONTRACT</t>
  </si>
  <si>
    <t>ID</t>
  </si>
  <si>
    <t>EXECUTIVE</t>
  </si>
  <si>
    <t>PREORDER</t>
  </si>
  <si>
    <t>POSTORDER</t>
  </si>
  <si>
    <t>ENGINEERING</t>
  </si>
  <si>
    <t>MECH</t>
  </si>
  <si>
    <t>ROTATING</t>
  </si>
  <si>
    <t>STATIC</t>
  </si>
  <si>
    <t>METALLURGY</t>
  </si>
  <si>
    <t>PIPING</t>
  </si>
  <si>
    <t>CIVIL</t>
  </si>
  <si>
    <t>ELECTRICAL</t>
  </si>
  <si>
    <t>INSTRUMENTATION</t>
  </si>
  <si>
    <t>TELECOM</t>
  </si>
  <si>
    <t>INTERFACE</t>
  </si>
  <si>
    <t>PROCUREMENT</t>
  </si>
  <si>
    <t>ORDERING</t>
  </si>
  <si>
    <t>MANUFACTURE</t>
  </si>
  <si>
    <t>DELIVERY</t>
  </si>
  <si>
    <t>LOGISTICS</t>
  </si>
  <si>
    <t>COMPLETIONS</t>
  </si>
  <si>
    <t>ATTACHMENTS</t>
  </si>
  <si>
    <t>CAR</t>
  </si>
  <si>
    <t>RPSGG</t>
  </si>
  <si>
    <t>UPS</t>
  </si>
  <si>
    <t>HIGHLIGHTS</t>
  </si>
  <si>
    <t>ACTIVITIES</t>
  </si>
  <si>
    <t>PLANNED</t>
  </si>
  <si>
    <t>AREAS</t>
  </si>
  <si>
    <t>CONCERN</t>
  </si>
  <si>
    <t>COMPANY</t>
  </si>
  <si>
    <t>GOAL</t>
  </si>
  <si>
    <t>ZERO</t>
  </si>
  <si>
    <t>DROPS</t>
  </si>
  <si>
    <t>CANTEEN</t>
  </si>
  <si>
    <t>KITCHEN</t>
  </si>
  <si>
    <t>CREW</t>
  </si>
  <si>
    <t>BUSES</t>
  </si>
  <si>
    <t>INCIDENTS</t>
  </si>
  <si>
    <t>STATISTICS</t>
  </si>
  <si>
    <t>OK</t>
  </si>
  <si>
    <t>KWANG</t>
  </si>
  <si>
    <t>LTD</t>
  </si>
  <si>
    <t>PIPELINES</t>
  </si>
  <si>
    <t>CORPORATION</t>
  </si>
  <si>
    <t>BRONZE</t>
  </si>
  <si>
    <t>BUTTERFLY</t>
  </si>
  <si>
    <t>VALVES</t>
  </si>
  <si>
    <t>IECEx</t>
  </si>
  <si>
    <t>RCU</t>
  </si>
  <si>
    <t>COMPLETED</t>
  </si>
  <si>
    <t>HTF</t>
  </si>
  <si>
    <t>CAMP</t>
  </si>
  <si>
    <t>KV</t>
  </si>
  <si>
    <t>WEEK</t>
  </si>
  <si>
    <t>AREA</t>
  </si>
  <si>
    <t>Quantity Control, Quality Control</t>
  </si>
  <si>
    <t>Часто используемые</t>
  </si>
  <si>
    <t>Скрипт проигнорирует слова из этого списка</t>
  </si>
  <si>
    <t>NNNN</t>
  </si>
  <si>
    <t>FI</t>
  </si>
  <si>
    <t>ABOUT</t>
  </si>
  <si>
    <t>MODIFICATIONS</t>
  </si>
  <si>
    <t>MADE</t>
  </si>
  <si>
    <t>IN</t>
  </si>
  <si>
    <t>BROWNFIELD</t>
  </si>
  <si>
    <t>PLANN</t>
  </si>
  <si>
    <t>PHOTO</t>
  </si>
  <si>
    <t>HAZard</t>
  </si>
  <si>
    <t>VECO</t>
  </si>
  <si>
    <t>PM</t>
  </si>
  <si>
    <t>DESCRIPTION</t>
  </si>
  <si>
    <t>PFMLCompanies</t>
  </si>
  <si>
    <t>ROATING</t>
  </si>
  <si>
    <t>MOM</t>
  </si>
  <si>
    <t>PIROGEL</t>
  </si>
  <si>
    <t>GLOBAL</t>
  </si>
  <si>
    <t>ON</t>
  </si>
  <si>
    <t xml:space="preserve"> Heat transfer fluid </t>
  </si>
  <si>
    <t xml:space="preserve">Minutes of Meeting </t>
  </si>
  <si>
    <t>AC &amp; DC</t>
  </si>
  <si>
    <t>Alternating current/Direct current</t>
  </si>
  <si>
    <t xml:space="preserve">Material test certificate </t>
  </si>
  <si>
    <t>Международная система МЭК по сертификации электрооборудования для взрывоопасных сред</t>
  </si>
  <si>
    <t>Remotely controlled unit</t>
  </si>
  <si>
    <t>AHU</t>
  </si>
  <si>
    <t>Air handling unit</t>
  </si>
  <si>
    <t>New Object</t>
  </si>
  <si>
    <t>Reconstructed object</t>
  </si>
  <si>
    <t>SUB</t>
  </si>
  <si>
    <t>FSG</t>
  </si>
  <si>
    <t>INA</t>
  </si>
  <si>
    <t>Fuel and Seal Gas</t>
  </si>
  <si>
    <t>Instrument and Nitrogen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</si>
</sst>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theme="1"/>
      <name val="Arial"/>
      <family val="2"/>
      <charset val="204"/>
    </font>
    <font>
      <sz val="8"/>
      <color rgb="FF000000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9"/>
      <color rgb="FFFF0000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3" xfId="0" applyFont="1" applyFill="1" applyBorder="1" applyAlignment="1">
      <alignment horizontal="justify" vertical="center" wrapText="1"/>
    </xf>
    <xf numFmtId="0" fontId="1" fillId="0" borderId="4" xfId="0" applyFont="1" applyFill="1" applyBorder="1" applyAlignment="1">
      <alignment horizontal="justify" vertical="center" wrapText="1"/>
    </xf>
    <xf numFmtId="0" fontId="4" fillId="0" borderId="0" xfId="0" applyFont="1" applyBorder="1" applyAlignment="1">
      <alignment horizontal="left" vertical="center"/>
    </xf>
    <xf numFmtId="0" fontId="4" fillId="0" borderId="2" xfId="0" applyFont="1" applyFill="1" applyBorder="1" applyAlignment="1">
      <alignment horizontal="justify" vertical="center" wrapText="1"/>
    </xf>
    <xf numFmtId="0" fontId="4" fillId="0" borderId="1" xfId="0" applyFont="1" applyFill="1" applyBorder="1" applyAlignment="1">
      <alignment horizontal="justify" vertical="center" wrapText="1"/>
    </xf>
    <xf numFmtId="0" fontId="5" fillId="0" borderId="0" xfId="0" applyFont="1"/>
    <xf numFmtId="0" fontId="4" fillId="0" borderId="0" xfId="0" applyFont="1" applyBorder="1" applyAlignment="1">
      <alignment horizontal="justify" vertical="center" wrapText="1"/>
    </xf>
    <xf numFmtId="0" fontId="5" fillId="0" borderId="0" xfId="0" applyFont="1" applyBorder="1" applyAlignment="1">
      <alignment horizontal="justify" vertical="center" wrapText="1"/>
    </xf>
    <xf numFmtId="0" fontId="5" fillId="0" borderId="0" xfId="0" applyFont="1" applyBorder="1"/>
    <xf numFmtId="0" fontId="4" fillId="0" borderId="5" xfId="0" applyFont="1" applyFill="1" applyBorder="1" applyAlignment="1">
      <alignment horizontal="justify" vertical="center" wrapText="1"/>
    </xf>
    <xf numFmtId="0" fontId="4" fillId="0" borderId="0" xfId="0" applyFont="1" applyFill="1" applyBorder="1" applyAlignment="1">
      <alignment horizontal="justify" vertical="center" wrapText="1"/>
    </xf>
    <xf numFmtId="0" fontId="5" fillId="0" borderId="0" xfId="0" applyFont="1" applyBorder="1" applyAlignment="1">
      <alignment vertical="center"/>
    </xf>
    <xf numFmtId="0" fontId="5" fillId="0" borderId="1" xfId="0" applyFont="1" applyBorder="1"/>
    <xf numFmtId="0" fontId="6" fillId="0" borderId="1" xfId="0" applyFont="1" applyFill="1" applyBorder="1" applyAlignment="1">
      <alignment horizontal="justify" vertical="center" wrapText="1"/>
    </xf>
    <xf numFmtId="0" fontId="7" fillId="0" borderId="0" xfId="0" applyFont="1" applyBorder="1"/>
    <xf numFmtId="0" fontId="6" fillId="0" borderId="0" xfId="0" applyFont="1" applyFill="1" applyBorder="1" applyAlignment="1">
      <alignment horizontal="justify" vertical="center" wrapText="1"/>
    </xf>
    <xf numFmtId="0" fontId="4" fillId="0" borderId="8" xfId="0" applyFont="1" applyFill="1" applyBorder="1" applyAlignment="1">
      <alignment horizontal="justify" vertical="center" wrapText="1"/>
    </xf>
    <xf numFmtId="0" fontId="0" fillId="0" borderId="1" xfId="0" applyBorder="1"/>
    <xf numFmtId="0" fontId="5" fillId="0" borderId="1" xfId="0" applyNumberFormat="1" applyFont="1" applyBorder="1" applyAlignment="1">
      <alignment vertical="center"/>
    </xf>
    <xf numFmtId="0" fontId="8" fillId="0" borderId="1" xfId="0" applyFont="1" applyFill="1" applyBorder="1" applyAlignment="1">
      <alignment horizontal="justify" vertical="center" wrapText="1"/>
    </xf>
    <xf numFmtId="0" fontId="9" fillId="0" borderId="0" xfId="0" applyFont="1" applyBorder="1"/>
    <xf numFmtId="0" fontId="8" fillId="0" borderId="0" xfId="0" applyFont="1" applyFill="1" applyBorder="1" applyAlignment="1">
      <alignment horizontal="justify" vertical="center" wrapText="1"/>
    </xf>
    <xf numFmtId="0" fontId="8" fillId="0" borderId="2" xfId="0" applyFont="1" applyFill="1" applyBorder="1" applyAlignment="1">
      <alignment horizontal="justify" vertical="center" wrapText="1"/>
    </xf>
    <xf numFmtId="0" fontId="10" fillId="0" borderId="1" xfId="0" applyFont="1" applyFill="1" applyBorder="1" applyAlignment="1">
      <alignment horizontal="justify" vertical="center" wrapText="1"/>
    </xf>
    <xf numFmtId="0" fontId="11" fillId="0" borderId="0" xfId="0" applyFont="1" applyBorder="1"/>
    <xf numFmtId="0" fontId="10" fillId="0" borderId="2" xfId="0" applyFont="1" applyFill="1" applyBorder="1" applyAlignment="1">
      <alignment horizontal="justify" vertical="center" wrapText="1"/>
    </xf>
    <xf numFmtId="0" fontId="10" fillId="0" borderId="0" xfId="0" applyFont="1" applyFill="1" applyBorder="1" applyAlignment="1">
      <alignment horizontal="justify" vertical="center" wrapText="1"/>
    </xf>
    <xf numFmtId="0" fontId="3" fillId="0" borderId="1" xfId="0" applyFont="1" applyBorder="1" applyAlignment="1">
      <alignment horizontal="left" vertical="center"/>
    </xf>
    <xf numFmtId="0" fontId="8" fillId="0" borderId="5" xfId="0" applyFont="1" applyFill="1" applyBorder="1" applyAlignment="1">
      <alignment horizontal="justify" vertical="center" wrapText="1"/>
    </xf>
    <xf numFmtId="0" fontId="3" fillId="0" borderId="1" xfId="0" applyNumberFormat="1" applyFont="1" applyBorder="1" applyAlignment="1">
      <alignment vertical="center"/>
    </xf>
    <xf numFmtId="0" fontId="10" fillId="0" borderId="5" xfId="0" applyFont="1" applyFill="1" applyBorder="1" applyAlignment="1">
      <alignment horizontal="justify" vertical="center" wrapText="1"/>
    </xf>
    <xf numFmtId="0" fontId="10" fillId="0" borderId="8" xfId="0" applyFont="1" applyFill="1" applyBorder="1" applyAlignment="1">
      <alignment horizontal="justify" vertical="center" wrapText="1"/>
    </xf>
    <xf numFmtId="0" fontId="3" fillId="0" borderId="0" xfId="0" applyFont="1" applyBorder="1" applyAlignment="1">
      <alignment horizontal="left" vertical="center"/>
    </xf>
    <xf numFmtId="0" fontId="6" fillId="0" borderId="5" xfId="0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justify" vertical="center" wrapText="1"/>
    </xf>
    <xf numFmtId="0" fontId="5" fillId="0" borderId="1" xfId="0" applyFont="1" applyBorder="1" applyAlignment="1">
      <alignment horizontal="left"/>
    </xf>
    <xf numFmtId="0" fontId="5" fillId="0" borderId="1" xfId="0" applyNumberFormat="1" applyFont="1" applyBorder="1" applyAlignment="1">
      <alignment horizontal="left" vertical="center"/>
    </xf>
    <xf numFmtId="0" fontId="11" fillId="0" borderId="0" xfId="0" applyFont="1"/>
    <xf numFmtId="0" fontId="11" fillId="0" borderId="0" xfId="0" applyFont="1" applyBorder="1" applyAlignment="1">
      <alignment vertical="center" wrapText="1"/>
    </xf>
    <xf numFmtId="0" fontId="5" fillId="0" borderId="1" xfId="0" applyFont="1" applyBorder="1" applyAlignment="1">
      <alignment horizontal="justify" vertical="center" wrapText="1"/>
    </xf>
    <xf numFmtId="0" fontId="13" fillId="0" borderId="1" xfId="0" applyFont="1" applyBorder="1"/>
    <xf numFmtId="0" fontId="4" fillId="0" borderId="1" xfId="0" applyFont="1" applyBorder="1"/>
    <xf numFmtId="0" fontId="5" fillId="0" borderId="8" xfId="0" applyNumberFormat="1" applyFont="1" applyBorder="1" applyAlignment="1">
      <alignment vertical="center"/>
    </xf>
    <xf numFmtId="0" fontId="4" fillId="0" borderId="1" xfId="0" applyFont="1" applyBorder="1" applyAlignment="1">
      <alignment horizontal="justify" vertical="center" wrapText="1"/>
    </xf>
    <xf numFmtId="0" fontId="5" fillId="0" borderId="1" xfId="0" applyFont="1" applyFill="1" applyBorder="1" applyAlignment="1">
      <alignment horizontal="justify" vertical="center" wrapText="1"/>
    </xf>
    <xf numFmtId="0" fontId="4" fillId="0" borderId="8" xfId="0" applyFont="1" applyBorder="1" applyAlignment="1">
      <alignment horizontal="justify" vertical="center" wrapText="1"/>
    </xf>
    <xf numFmtId="0" fontId="15" fillId="0" borderId="0" xfId="0" applyFont="1"/>
    <xf numFmtId="0" fontId="15" fillId="0" borderId="0" xfId="0" applyNumberFormat="1" applyFont="1"/>
    <xf numFmtId="0" fontId="15" fillId="0" borderId="0" xfId="0" applyNumberFormat="1" applyFont="1" applyBorder="1"/>
    <xf numFmtId="0" fontId="0" fillId="0" borderId="0" xfId="0" applyBorder="1"/>
    <xf numFmtId="0" fontId="0" fillId="0" borderId="5" xfId="0" applyBorder="1"/>
    <xf numFmtId="0" fontId="3" fillId="0" borderId="8" xfId="0" applyFont="1" applyBorder="1" applyAlignment="1">
      <alignment horizontal="left" vertical="center"/>
    </xf>
    <xf numFmtId="0" fontId="4" fillId="0" borderId="1" xfId="0" applyNumberFormat="1" applyFont="1" applyFill="1" applyBorder="1" applyAlignment="1">
      <alignment horizontal="justify" vertical="center" wrapText="1"/>
    </xf>
    <xf numFmtId="0" fontId="4" fillId="0" borderId="1" xfId="1" applyFont="1" applyFill="1" applyBorder="1" applyAlignment="1">
      <alignment horizontal="justify" vertical="center" wrapText="1"/>
    </xf>
    <xf numFmtId="0" fontId="4" fillId="0" borderId="9" xfId="0" applyFont="1" applyFill="1" applyBorder="1" applyAlignment="1">
      <alignment horizontal="justify" vertical="center" wrapText="1"/>
    </xf>
    <xf numFmtId="0" fontId="12" fillId="0" borderId="1" xfId="0" applyFont="1" applyBorder="1"/>
    <xf numFmtId="0" fontId="5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justify" vertical="center" wrapText="1"/>
    </xf>
    <xf numFmtId="0" fontId="5" fillId="0" borderId="5" xfId="0" applyFont="1" applyBorder="1" applyAlignment="1">
      <alignment horizontal="left" vertical="center"/>
    </xf>
    <xf numFmtId="0" fontId="9" fillId="0" borderId="6" xfId="0" applyFont="1" applyBorder="1"/>
    <xf numFmtId="0" fontId="9" fillId="0" borderId="7" xfId="0" applyFont="1" applyBorder="1"/>
    <xf numFmtId="0" fontId="16" fillId="2" borderId="10" xfId="0" applyFont="1" applyFill="1" applyBorder="1"/>
    <xf numFmtId="0" fontId="16" fillId="2" borderId="11" xfId="0" applyFont="1" applyFill="1" applyBorder="1"/>
    <xf numFmtId="0" fontId="0" fillId="0" borderId="0" xfId="0" applyNumberFormat="1" applyBorder="1"/>
    <xf numFmtId="0" fontId="0" fillId="0" borderId="0" xfId="0" applyNumberFormat="1"/>
    <xf numFmtId="0" fontId="4" fillId="0" borderId="5" xfId="0" applyFont="1" applyBorder="1" applyAlignment="1">
      <alignment horizontal="justify" vertical="center" wrapText="1"/>
    </xf>
    <xf numFmtId="0" fontId="17" fillId="0" borderId="0" xfId="0" applyFont="1"/>
    <xf numFmtId="0" fontId="4" fillId="0" borderId="2" xfId="0" applyFont="1" applyBorder="1" applyAlignment="1">
      <alignment horizontal="justify" vertical="center" wrapText="1"/>
    </xf>
    <xf numFmtId="0" fontId="5" fillId="0" borderId="8" xfId="0" applyFont="1" applyFill="1" applyBorder="1" applyAlignment="1">
      <alignment horizontal="justify" vertical="center" wrapText="1"/>
    </xf>
    <xf numFmtId="0" fontId="8" fillId="0" borderId="8" xfId="0" applyFont="1" applyFill="1" applyBorder="1" applyAlignment="1">
      <alignment horizontal="justify" vertical="center" wrapText="1"/>
    </xf>
    <xf numFmtId="0" fontId="6" fillId="0" borderId="8" xfId="0" applyFont="1" applyFill="1" applyBorder="1" applyAlignment="1">
      <alignment horizontal="justify" vertical="center" wrapText="1"/>
    </xf>
    <xf numFmtId="0" fontId="5" fillId="0" borderId="8" xfId="0" applyFont="1" applyBorder="1"/>
  </cellXfs>
  <cellStyles count="2">
    <cellStyle name="Hyperlink" xfId="1" builtinId="8"/>
    <cellStyle name="Normal" xfId="0" builtinId="0"/>
  </cellStyles>
  <dxfs count="20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justify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name val="Arial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justify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4</xdr:row>
          <xdr:rowOff>9525</xdr:rowOff>
        </xdr:from>
        <xdr:to>
          <xdr:col>6</xdr:col>
          <xdr:colOff>419100</xdr:colOff>
          <xdr:row>12</xdr:row>
          <xdr:rowOff>142875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 and Gather Abbreviations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9524</xdr:rowOff>
        </xdr:from>
        <xdr:to>
          <xdr:col>5</xdr:col>
          <xdr:colOff>590550</xdr:colOff>
          <xdr:row>1</xdr:row>
          <xdr:rowOff>19049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two columns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AB_Table" displayName="AB_Table" ref="A1:E458" totalsRowShown="0" headerRowDxfId="19" dataDxfId="17" headerRowBorderDxfId="18" tableBorderDxfId="16" totalsRowBorderDxfId="15">
  <autoFilter ref="A1:E458"/>
  <sortState ref="A2:E459">
    <sortCondition ref="A1:A459"/>
  </sortState>
  <tableColumns count="5">
    <tableColumn id="6" name="Абревиатура" dataDxfId="14"/>
    <tableColumn id="2" name="Расшифровка" dataDxfId="13"/>
    <tableColumn id="7" name="Абревиатура2" dataDxfId="12"/>
    <tableColumn id="8" name="Расшифровка3" dataDxfId="11"/>
    <tableColumn id="9" name="double" dataDxfId="10">
      <calculatedColumnFormula>IF(COUNTIF(AB_Table[Абревиатура],A2)&gt;1,"DOUBLE","")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C190" totalsRowShown="0">
  <autoFilter ref="A1:C190"/>
  <sortState ref="A2:C189">
    <sortCondition ref="A1:A189"/>
  </sortState>
  <tableColumns count="3">
    <tableColumn id="1" name="Not Abbreviation" dataDxfId="9"/>
    <tableColumn id="2" name="Decoding" dataDxfId="8">
      <calculatedColumnFormula>IF(COUNTIF(AB_Table[],Table3[[#This Row],[Not Abbreviation]])&gt;0,VLOOKUP(Table3[[#This Row],[Not Abbreviation]],AB_Table[],2),"")</calculatedColumnFormula>
    </tableColumn>
    <tableColumn id="3" name="Double" dataDxfId="7">
      <calculatedColumnFormula>IF(COUNTIF(Table3[Not Abbreviation],A2)&gt;1,"DOUBLE","")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6" name="Table35791213467" displayName="Table35791213467" ref="A1:C103" totalsRowShown="0" dataDxfId="6">
  <autoFilter ref="A1:C103"/>
  <sortState ref="A2:E103">
    <sortCondition ref="A1:A103"/>
  </sortState>
  <tableColumns count="3">
    <tableColumn id="3" name="Column12" dataDxfId="5"/>
    <tableColumn id="4" name="Column3" dataDxfId="4">
      <calculatedColumnFormula>IF(COUNTIF(AB_Table[],Table35791213467[[#This Row],[Column12]])&gt;0,VLOOKUP(Table35791213467[[#This Row],[Column12]],AB_Table[],2),"")</calculatedColumnFormula>
    </tableColumn>
    <tableColumn id="5" name="Column1" dataDxfId="3">
      <calculatedColumnFormula>IF(COUNTIF(Table35791213467[Column12],A2)&gt;1,"DOUBLE","")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C2" totalsRowShown="0">
  <autoFilter ref="A1:C2"/>
  <sortState ref="A2:C21">
    <sortCondition ref="A1:A21"/>
  </sortState>
  <tableColumns count="3">
    <tableColumn id="1" name="Abbreviation" dataDxfId="2"/>
    <tableColumn id="2" name="Decoding" dataDxfId="1">
      <calculatedColumnFormula>IF(COUNTIF(AB_Table[],Table35[[#This Row],[Abbreviation]])&gt;0,VLOOKUP(Table35[[#This Row],[Abbreviation]],AB_Table[],2),"")</calculatedColumnFormula>
    </tableColumn>
    <tableColumn id="3" name="Double" dataDxfId="0">
      <calculatedColumnFormula>IF(COUNTIF(Table35[Abbreviation],A2)&gt;1,"DOUBLE","")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multitran.ru/c/m.exe?t=4221608_2_1&amp;s1=RFC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E458"/>
  <sheetViews>
    <sheetView tabSelected="1" topLeftCell="A441" workbookViewId="0">
      <selection activeCell="D464" sqref="D464"/>
    </sheetView>
  </sheetViews>
  <sheetFormatPr defaultRowHeight="15" x14ac:dyDescent="0.25"/>
  <cols>
    <col min="1" max="1" width="14.140625" customWidth="1"/>
    <col min="2" max="2" width="48.28515625" bestFit="1" customWidth="1"/>
    <col min="3" max="3" width="13.85546875" customWidth="1"/>
    <col min="4" max="4" width="43.7109375" customWidth="1"/>
    <col min="5" max="5" width="13.28515625" bestFit="1" customWidth="1"/>
  </cols>
  <sheetData>
    <row r="1" spans="1:5" ht="14.25" customHeight="1" x14ac:dyDescent="0.25">
      <c r="A1" s="1" t="s">
        <v>465</v>
      </c>
      <c r="B1" s="2" t="s">
        <v>466</v>
      </c>
      <c r="C1" s="1" t="s">
        <v>467</v>
      </c>
      <c r="D1" s="2" t="s">
        <v>468</v>
      </c>
      <c r="E1" s="2" t="s">
        <v>469</v>
      </c>
    </row>
    <row r="2" spans="1:5" ht="14.25" customHeight="1" x14ac:dyDescent="0.25">
      <c r="A2" s="69" t="s">
        <v>1137</v>
      </c>
      <c r="B2" s="5" t="s">
        <v>1138</v>
      </c>
      <c r="C2" s="9"/>
      <c r="D2" s="9"/>
      <c r="E2" s="50" t="str">
        <f>IF(COUNTIF(AB_Table[Абревиатура],A2)&gt;1,"DOUBLE","")</f>
        <v/>
      </c>
    </row>
    <row r="3" spans="1:5" ht="14.25" customHeight="1" x14ac:dyDescent="0.25">
      <c r="A3" s="17" t="s">
        <v>768</v>
      </c>
      <c r="B3" s="5" t="s">
        <v>769</v>
      </c>
      <c r="C3" s="6"/>
      <c r="D3" s="6"/>
      <c r="E3" s="49" t="str">
        <f>IF(COUNTIF(AB_Table[Абревиатура],A3)&gt;1,"DOUBLE","")</f>
        <v/>
      </c>
    </row>
    <row r="4" spans="1:5" ht="14.25" customHeight="1" x14ac:dyDescent="0.25">
      <c r="A4" s="4" t="s">
        <v>0</v>
      </c>
      <c r="B4" s="5" t="s">
        <v>1</v>
      </c>
      <c r="C4" s="6"/>
      <c r="D4" s="6"/>
      <c r="E4" s="48" t="str">
        <f>IF(COUNTIF(AB_Table[Абревиатура],A4)&gt;1,"DOUBLE","")</f>
        <v/>
      </c>
    </row>
    <row r="5" spans="1:5" ht="14.25" customHeight="1" x14ac:dyDescent="0.25">
      <c r="A5" s="4" t="s">
        <v>770</v>
      </c>
      <c r="B5" s="5" t="s">
        <v>771</v>
      </c>
      <c r="C5" s="6"/>
      <c r="D5" s="6"/>
      <c r="E5" s="49" t="str">
        <f>IF(COUNTIF(AB_Table[Абревиатура],A5)&gt;1,"DOUBLE","")</f>
        <v/>
      </c>
    </row>
    <row r="6" spans="1:5" ht="14.25" customHeight="1" x14ac:dyDescent="0.25">
      <c r="A6" s="4" t="s">
        <v>435</v>
      </c>
      <c r="B6" s="5" t="s">
        <v>2</v>
      </c>
      <c r="C6" s="6"/>
      <c r="D6" s="6" t="s">
        <v>569</v>
      </c>
      <c r="E6" s="48" t="str">
        <f>IF(COUNTIF(AB_Table[Абревиатура],A6)&gt;1,"DOUBLE","")</f>
        <v/>
      </c>
    </row>
    <row r="7" spans="1:5" ht="14.25" customHeight="1" x14ac:dyDescent="0.25">
      <c r="A7" s="4" t="s">
        <v>3</v>
      </c>
      <c r="B7" s="5" t="s">
        <v>4</v>
      </c>
      <c r="C7" s="6"/>
      <c r="D7" s="9"/>
      <c r="E7" s="48" t="str">
        <f>IF(COUNTIF(AB_Table[Абревиатура],A7)&gt;1,"DOUBLE","")</f>
        <v/>
      </c>
    </row>
    <row r="8" spans="1:5" ht="14.25" customHeight="1" x14ac:dyDescent="0.25">
      <c r="A8" s="4" t="s">
        <v>5</v>
      </c>
      <c r="B8" s="5" t="s">
        <v>6</v>
      </c>
      <c r="C8" s="7"/>
      <c r="D8" s="7"/>
      <c r="E8" s="48" t="str">
        <f>IF(COUNTIF(AB_Table[Абревиатура],A8)&gt;1,"DOUBLE","")</f>
        <v/>
      </c>
    </row>
    <row r="9" spans="1:5" ht="14.25" customHeight="1" x14ac:dyDescent="0.25">
      <c r="A9" s="4" t="s">
        <v>736</v>
      </c>
      <c r="B9" s="5" t="s">
        <v>629</v>
      </c>
      <c r="C9" s="9"/>
      <c r="D9" s="9"/>
      <c r="E9" s="50" t="str">
        <f>IF(COUNTIF(AB_Table[Абревиатура],A9)&gt;1,"DOUBLE","")</f>
        <v/>
      </c>
    </row>
    <row r="10" spans="1:5" ht="14.25" customHeight="1" x14ac:dyDescent="0.25">
      <c r="A10" s="10" t="s">
        <v>1142</v>
      </c>
      <c r="B10" s="5" t="s">
        <v>1143</v>
      </c>
      <c r="C10" s="9"/>
      <c r="D10" s="9"/>
      <c r="E10" s="50" t="str">
        <f>IF(COUNTIF(AB_Table[Абревиатура],A10)&gt;1,"DOUBLE","")</f>
        <v/>
      </c>
    </row>
    <row r="11" spans="1:5" ht="14.25" customHeight="1" x14ac:dyDescent="0.25">
      <c r="A11" s="31" t="s">
        <v>651</v>
      </c>
      <c r="B11" s="24" t="s">
        <v>656</v>
      </c>
      <c r="C11" s="39"/>
      <c r="D11" s="40" t="s">
        <v>657</v>
      </c>
      <c r="E11" s="48" t="str">
        <f>IF(COUNTIF(AB_Table[Абревиатура],A11)&gt;1,"DOUBLE","")</f>
        <v/>
      </c>
    </row>
    <row r="12" spans="1:5" ht="14.25" customHeight="1" x14ac:dyDescent="0.25">
      <c r="A12" s="10" t="s">
        <v>772</v>
      </c>
      <c r="B12" s="5" t="s">
        <v>773</v>
      </c>
      <c r="C12" s="6"/>
      <c r="D12" s="6"/>
      <c r="E12" s="49" t="str">
        <f>IF(COUNTIF(AB_Table[Абревиатура],A12)&gt;1,"DOUBLE","")</f>
        <v/>
      </c>
    </row>
    <row r="13" spans="1:5" ht="14.25" customHeight="1" x14ac:dyDescent="0.25">
      <c r="A13" s="10" t="s">
        <v>765</v>
      </c>
      <c r="B13" s="5" t="s">
        <v>766</v>
      </c>
      <c r="C13" s="9"/>
      <c r="D13" s="9"/>
      <c r="E13" s="50" t="str">
        <f>IF(COUNTIF(AB_Table[Абревиатура],A13)&gt;1,"DOUBLE","")</f>
        <v/>
      </c>
    </row>
    <row r="14" spans="1:5" x14ac:dyDescent="0.25">
      <c r="A14" s="10" t="s">
        <v>774</v>
      </c>
      <c r="B14" s="5" t="s">
        <v>766</v>
      </c>
      <c r="C14" s="6"/>
      <c r="D14" s="6"/>
      <c r="E14" s="49" t="str">
        <f>IF(COUNTIF(AB_Table[Абревиатура],A14)&gt;1,"DOUBLE","")</f>
        <v/>
      </c>
    </row>
    <row r="15" spans="1:5" ht="14.25" customHeight="1" x14ac:dyDescent="0.25">
      <c r="A15" s="10" t="s">
        <v>7</v>
      </c>
      <c r="B15" s="5" t="s">
        <v>8</v>
      </c>
      <c r="C15" s="7"/>
      <c r="D15" s="7"/>
      <c r="E15" s="48" t="str">
        <f>IF(COUNTIF(AB_Table[Абревиатура],A15)&gt;1,"DOUBLE","")</f>
        <v/>
      </c>
    </row>
    <row r="16" spans="1:5" ht="14.25" customHeight="1" x14ac:dyDescent="0.25">
      <c r="A16" s="10" t="s">
        <v>323</v>
      </c>
      <c r="B16" s="5" t="s">
        <v>930</v>
      </c>
      <c r="C16" s="9"/>
      <c r="D16" s="9"/>
      <c r="E16" s="48" t="str">
        <f>IF(COUNTIF(AB_Table[Абревиатура],A16)&gt;1,"DOUBLE","")</f>
        <v/>
      </c>
    </row>
    <row r="17" spans="1:5" ht="14.25" customHeight="1" x14ac:dyDescent="0.25">
      <c r="A17" s="4" t="s">
        <v>258</v>
      </c>
      <c r="B17" s="5" t="s">
        <v>364</v>
      </c>
      <c r="C17" s="8"/>
      <c r="D17" s="8" t="s">
        <v>259</v>
      </c>
      <c r="E17" s="48" t="str">
        <f>IF(COUNTIF(AB_Table[Абревиатура],A17)&gt;1,"DOUBLE","")</f>
        <v/>
      </c>
    </row>
    <row r="18" spans="1:5" ht="14.25" customHeight="1" x14ac:dyDescent="0.25">
      <c r="A18" s="4" t="s">
        <v>437</v>
      </c>
      <c r="B18" s="5" t="s">
        <v>476</v>
      </c>
      <c r="C18" s="9"/>
      <c r="D18" s="9"/>
      <c r="E18" s="48" t="str">
        <f>IF(COUNTIF(AB_Table[Абревиатура],A18)&gt;1,"DOUBLE","")</f>
        <v/>
      </c>
    </row>
    <row r="19" spans="1:5" ht="14.25" customHeight="1" x14ac:dyDescent="0.25">
      <c r="A19" s="4" t="s">
        <v>350</v>
      </c>
      <c r="B19" s="5" t="s">
        <v>365</v>
      </c>
      <c r="C19" s="9"/>
      <c r="D19" s="9"/>
      <c r="E19" s="48" t="str">
        <f>IF(COUNTIF(AB_Table[Абревиатура],A19)&gt;1,"DOUBLE","")</f>
        <v/>
      </c>
    </row>
    <row r="20" spans="1:5" ht="14.25" customHeight="1" x14ac:dyDescent="0.25">
      <c r="A20" s="4" t="s">
        <v>689</v>
      </c>
      <c r="B20" s="5" t="s">
        <v>690</v>
      </c>
      <c r="C20" s="9"/>
      <c r="D20" s="9"/>
      <c r="E20" s="48" t="str">
        <f>IF(COUNTIF(AB_Table[Абревиатура],A20)&gt;1,"DOUBLE","")</f>
        <v/>
      </c>
    </row>
    <row r="21" spans="1:5" ht="14.25" customHeight="1" x14ac:dyDescent="0.25">
      <c r="A21" s="4" t="s">
        <v>9</v>
      </c>
      <c r="B21" s="5" t="s">
        <v>10</v>
      </c>
      <c r="C21" s="9"/>
      <c r="D21" s="9"/>
      <c r="E21" s="48" t="str">
        <f>IF(COUNTIF(AB_Table[Абревиатура],A21)&gt;1,"DOUBLE","")</f>
        <v/>
      </c>
    </row>
    <row r="22" spans="1:5" x14ac:dyDescent="0.25">
      <c r="A22" s="4" t="s">
        <v>775</v>
      </c>
      <c r="B22" s="5" t="s">
        <v>776</v>
      </c>
      <c r="C22" s="9"/>
      <c r="D22" s="9"/>
      <c r="E22" s="50" t="str">
        <f>IF(COUNTIF(AB_Table[Абревиатура],A22)&gt;1,"DOUBLE","")</f>
        <v/>
      </c>
    </row>
    <row r="23" spans="1:5" x14ac:dyDescent="0.25">
      <c r="A23" s="4" t="s">
        <v>11</v>
      </c>
      <c r="B23" s="5" t="s">
        <v>12</v>
      </c>
      <c r="C23" s="9"/>
      <c r="D23" s="9"/>
      <c r="E23" s="48" t="str">
        <f>IF(COUNTIF(AB_Table[Абревиатура],A23)&gt;1,"DOUBLE","")</f>
        <v/>
      </c>
    </row>
    <row r="24" spans="1:5" x14ac:dyDescent="0.25">
      <c r="A24" s="4" t="s">
        <v>506</v>
      </c>
      <c r="B24" s="5" t="s">
        <v>13</v>
      </c>
      <c r="C24" s="6"/>
      <c r="D24" s="9"/>
      <c r="E24" s="48" t="str">
        <f>IF(COUNTIF(AB_Table[Абревиатура],A24)&gt;1,"DOUBLE","")</f>
        <v/>
      </c>
    </row>
    <row r="25" spans="1:5" x14ac:dyDescent="0.25">
      <c r="A25" s="4" t="s">
        <v>14</v>
      </c>
      <c r="B25" s="5" t="s">
        <v>15</v>
      </c>
      <c r="C25" s="9"/>
      <c r="D25" s="9"/>
      <c r="E25" s="48" t="str">
        <f>IF(COUNTIF(AB_Table[Абревиатура],A25)&gt;1,"DOUBLE","")</f>
        <v/>
      </c>
    </row>
    <row r="26" spans="1:5" x14ac:dyDescent="0.25">
      <c r="A26" s="4" t="s">
        <v>458</v>
      </c>
      <c r="B26" s="5" t="s">
        <v>777</v>
      </c>
      <c r="C26" s="6"/>
      <c r="D26" s="6"/>
      <c r="E26" s="49" t="str">
        <f>IF(COUNTIF(AB_Table[Абревиатура],A26)&gt;1,"DOUBLE","")</f>
        <v/>
      </c>
    </row>
    <row r="27" spans="1:5" x14ac:dyDescent="0.25">
      <c r="A27" s="58" t="s">
        <v>931</v>
      </c>
      <c r="B27" s="5" t="s">
        <v>933</v>
      </c>
      <c r="C27" s="6"/>
      <c r="D27" s="6"/>
      <c r="E27" s="49" t="str">
        <f>IF(COUNTIF(AB_Table[Абревиатура],A27)&gt;1,"DOUBLE","")</f>
        <v/>
      </c>
    </row>
    <row r="28" spans="1:5" x14ac:dyDescent="0.25">
      <c r="A28" s="4" t="s">
        <v>16</v>
      </c>
      <c r="B28" s="5" t="s">
        <v>778</v>
      </c>
      <c r="C28" s="6"/>
      <c r="D28" s="6"/>
      <c r="E28" s="49" t="str">
        <f>IF(COUNTIF(AB_Table[Абревиатура],A28)&gt;1,"DOUBLE","")</f>
        <v/>
      </c>
    </row>
    <row r="29" spans="1:5" x14ac:dyDescent="0.25">
      <c r="A29" s="4" t="s">
        <v>17</v>
      </c>
      <c r="B29" s="5" t="s">
        <v>709</v>
      </c>
      <c r="C29" s="7"/>
      <c r="D29" s="7" t="s">
        <v>562</v>
      </c>
      <c r="E29" s="48" t="str">
        <f>IF(COUNTIF(AB_Table[Абревиатура],A29)&gt;1,"DOUBLE","")</f>
        <v/>
      </c>
    </row>
    <row r="30" spans="1:5" x14ac:dyDescent="0.25">
      <c r="A30" s="26" t="s">
        <v>618</v>
      </c>
      <c r="B30" s="24" t="s">
        <v>622</v>
      </c>
      <c r="C30" s="25"/>
      <c r="D30" s="25"/>
      <c r="E30" s="48" t="str">
        <f>IF(COUNTIF(AB_Table[Абревиатура],A30)&gt;1,"DOUBLE","")</f>
        <v/>
      </c>
    </row>
    <row r="31" spans="1:5" x14ac:dyDescent="0.25">
      <c r="A31" s="4" t="s">
        <v>18</v>
      </c>
      <c r="B31" s="5" t="s">
        <v>19</v>
      </c>
      <c r="C31" s="6"/>
      <c r="D31" s="6"/>
      <c r="E31" s="48" t="str">
        <f>IF(COUNTIF(AB_Table[Абревиатура],A31)&gt;1,"DOUBLE","")</f>
        <v/>
      </c>
    </row>
    <row r="32" spans="1:5" x14ac:dyDescent="0.25">
      <c r="A32" s="4" t="s">
        <v>1122</v>
      </c>
      <c r="B32" s="5" t="s">
        <v>1145</v>
      </c>
      <c r="C32" s="25"/>
      <c r="D32" s="25" t="s">
        <v>568</v>
      </c>
      <c r="E32" s="48" t="str">
        <f>IF(COUNTIF(AB_Table[Абревиатура],A32)&gt;1,"DOUBLE","")</f>
        <v/>
      </c>
    </row>
    <row r="33" spans="1:5" x14ac:dyDescent="0.25">
      <c r="A33" s="23" t="s">
        <v>543</v>
      </c>
      <c r="B33" s="20" t="s">
        <v>546</v>
      </c>
      <c r="C33" s="21"/>
      <c r="D33" s="21"/>
      <c r="E33" s="48" t="str">
        <f>IF(COUNTIF(AB_Table[Абревиатура],A33)&gt;1,"DOUBLE","")</f>
        <v/>
      </c>
    </row>
    <row r="34" spans="1:5" x14ac:dyDescent="0.25">
      <c r="A34" s="23" t="s">
        <v>535</v>
      </c>
      <c r="B34" s="20" t="s">
        <v>538</v>
      </c>
      <c r="C34" s="21"/>
      <c r="D34" s="21"/>
      <c r="E34" s="48" t="str">
        <f>IF(COUNTIF(AB_Table[Абревиатура],A34)&gt;1,"DOUBLE","")</f>
        <v/>
      </c>
    </row>
    <row r="35" spans="1:5" x14ac:dyDescent="0.25">
      <c r="A35" s="23" t="s">
        <v>544</v>
      </c>
      <c r="B35" s="22" t="s">
        <v>546</v>
      </c>
      <c r="C35" s="21"/>
      <c r="D35" s="21"/>
      <c r="E35" s="48" t="str">
        <f>IF(COUNTIF(AB_Table[Абревиатура],A35)&gt;1,"DOUBLE","")</f>
        <v/>
      </c>
    </row>
    <row r="36" spans="1:5" x14ac:dyDescent="0.25">
      <c r="A36" s="29" t="s">
        <v>537</v>
      </c>
      <c r="B36" s="20" t="s">
        <v>538</v>
      </c>
      <c r="C36" s="21"/>
      <c r="D36" s="21"/>
      <c r="E36" s="48" t="str">
        <f>IF(COUNTIF(AB_Table[Абревиатура],A36)&gt;1,"DOUBLE","")</f>
        <v/>
      </c>
    </row>
    <row r="37" spans="1:5" x14ac:dyDescent="0.25">
      <c r="A37" s="29" t="s">
        <v>545</v>
      </c>
      <c r="B37" s="20" t="s">
        <v>546</v>
      </c>
      <c r="C37" s="61"/>
      <c r="D37" s="62"/>
      <c r="E37" s="48" t="str">
        <f>IF(COUNTIF(AB_Table[Абревиатура],A37)&gt;1,"DOUBLE","")</f>
        <v/>
      </c>
    </row>
    <row r="38" spans="1:5" x14ac:dyDescent="0.25">
      <c r="A38" s="29" t="s">
        <v>536</v>
      </c>
      <c r="B38" s="20" t="s">
        <v>538</v>
      </c>
      <c r="C38" s="21"/>
      <c r="D38" s="21"/>
      <c r="E38" s="48" t="str">
        <f>IF(COUNTIF(AB_Table[Абревиатура],A38)&gt;1,"DOUBLE","")</f>
        <v/>
      </c>
    </row>
    <row r="39" spans="1:5" x14ac:dyDescent="0.25">
      <c r="A39" s="29" t="s">
        <v>542</v>
      </c>
      <c r="B39" s="20" t="s">
        <v>546</v>
      </c>
      <c r="C39" s="21"/>
      <c r="D39" s="21"/>
      <c r="E39" s="48" t="str">
        <f>IF(COUNTIF(AB_Table[Абревиатура],A39)&gt;1,"DOUBLE","")</f>
        <v/>
      </c>
    </row>
    <row r="40" spans="1:5" x14ac:dyDescent="0.25">
      <c r="A40" s="29" t="s">
        <v>534</v>
      </c>
      <c r="B40" s="20" t="s">
        <v>538</v>
      </c>
      <c r="C40" s="21"/>
      <c r="D40" s="21"/>
      <c r="E40" s="48" t="str">
        <f>IF(COUNTIF(AB_Table[Абревиатура],A40)&gt;1,"DOUBLE","")</f>
        <v/>
      </c>
    </row>
    <row r="41" spans="1:5" x14ac:dyDescent="0.25">
      <c r="A41" s="10" t="s">
        <v>20</v>
      </c>
      <c r="B41" s="5" t="s">
        <v>21</v>
      </c>
      <c r="C41" s="9"/>
      <c r="D41" s="9"/>
      <c r="E41" s="48" t="str">
        <f>IF(COUNTIF(AB_Table[Абревиатура],A41)&gt;1,"DOUBLE","")</f>
        <v/>
      </c>
    </row>
    <row r="42" spans="1:5" x14ac:dyDescent="0.25">
      <c r="A42" s="4" t="s">
        <v>779</v>
      </c>
      <c r="B42" s="5" t="s">
        <v>780</v>
      </c>
      <c r="C42" s="6"/>
      <c r="D42" s="6"/>
      <c r="E42" s="49" t="str">
        <f>IF(COUNTIF(AB_Table[Абревиатура],A42)&gt;1,"DOUBLE","")</f>
        <v/>
      </c>
    </row>
    <row r="43" spans="1:5" x14ac:dyDescent="0.25">
      <c r="A43" s="4" t="s">
        <v>362</v>
      </c>
      <c r="B43" s="5" t="s">
        <v>369</v>
      </c>
      <c r="C43" s="6"/>
      <c r="D43" s="9"/>
      <c r="E43" s="48" t="str">
        <f>IF(COUNTIF(AB_Table[Абревиатура],A43)&gt;1,"DOUBLE","")</f>
        <v/>
      </c>
    </row>
    <row r="44" spans="1:5" x14ac:dyDescent="0.25">
      <c r="A44" s="4" t="s">
        <v>438</v>
      </c>
      <c r="B44" s="5" t="s">
        <v>678</v>
      </c>
      <c r="C44" s="9"/>
      <c r="D44" s="9" t="s">
        <v>679</v>
      </c>
      <c r="E44" s="48" t="str">
        <f>IF(COUNTIF(AB_Table[Абревиатура],A44)&gt;1,"DOUBLE","")</f>
        <v/>
      </c>
    </row>
    <row r="45" spans="1:5" x14ac:dyDescent="0.25">
      <c r="A45" s="4" t="s">
        <v>729</v>
      </c>
      <c r="B45" s="5" t="s">
        <v>753</v>
      </c>
      <c r="C45" s="6"/>
      <c r="D45" s="6"/>
      <c r="E45" s="49" t="str">
        <f>IF(COUNTIF(AB_Table[Абревиатура],A45)&gt;1,"DOUBLE","")</f>
        <v/>
      </c>
    </row>
    <row r="46" spans="1:5" x14ac:dyDescent="0.25">
      <c r="A46" s="4" t="s">
        <v>781</v>
      </c>
      <c r="B46" s="5" t="s">
        <v>782</v>
      </c>
      <c r="C46" s="6"/>
      <c r="D46" s="6"/>
      <c r="E46" s="49" t="str">
        <f>IF(COUNTIF(AB_Table[Абревиатура],A46)&gt;1,"DOUBLE","")</f>
        <v/>
      </c>
    </row>
    <row r="47" spans="1:5" x14ac:dyDescent="0.25">
      <c r="A47" s="4" t="s">
        <v>187</v>
      </c>
      <c r="B47" s="5" t="s">
        <v>675</v>
      </c>
      <c r="C47" s="6"/>
      <c r="D47" s="6"/>
      <c r="E47" s="48" t="str">
        <f>IF(COUNTIF(AB_Table[Абревиатура],A47)&gt;1,"DOUBLE","")</f>
        <v/>
      </c>
    </row>
    <row r="48" spans="1:5" x14ac:dyDescent="0.25">
      <c r="A48" s="4" t="s">
        <v>640</v>
      </c>
      <c r="B48" s="5"/>
      <c r="C48" s="9"/>
      <c r="D48" s="9"/>
      <c r="E48" s="48" t="str">
        <f>IF(COUNTIF(AB_Table[Абревиатура],A48)&gt;1,"DOUBLE","")</f>
        <v/>
      </c>
    </row>
    <row r="49" spans="1:5" x14ac:dyDescent="0.25">
      <c r="A49" s="4" t="s">
        <v>783</v>
      </c>
      <c r="B49" s="5" t="s">
        <v>784</v>
      </c>
      <c r="C49" s="6"/>
      <c r="D49" s="6"/>
      <c r="E49" s="49" t="str">
        <f>IF(COUNTIF(AB_Table[Абревиатура],A49)&gt;1,"DOUBLE","")</f>
        <v/>
      </c>
    </row>
    <row r="50" spans="1:5" x14ac:dyDescent="0.25">
      <c r="A50" s="4" t="s">
        <v>327</v>
      </c>
      <c r="B50" s="5" t="s">
        <v>370</v>
      </c>
      <c r="C50" s="6"/>
      <c r="D50" s="6"/>
      <c r="E50" s="48" t="str">
        <f>IF(COUNTIF(AB_Table[Абревиатура],A50)&gt;1,"DOUBLE","")</f>
        <v/>
      </c>
    </row>
    <row r="51" spans="1:5" x14ac:dyDescent="0.25">
      <c r="A51" s="10" t="s">
        <v>298</v>
      </c>
      <c r="B51" s="5" t="s">
        <v>371</v>
      </c>
      <c r="C51" s="8"/>
      <c r="D51" s="8" t="s">
        <v>299</v>
      </c>
      <c r="E51" s="48" t="str">
        <f>IF(COUNTIF(AB_Table[Абревиатура],A51)&gt;1,"DOUBLE","")</f>
        <v/>
      </c>
    </row>
    <row r="52" spans="1:5" x14ac:dyDescent="0.25">
      <c r="A52" s="4" t="s">
        <v>701</v>
      </c>
      <c r="B52" s="5" t="s">
        <v>686</v>
      </c>
      <c r="C52" s="9"/>
      <c r="D52" s="9"/>
      <c r="E52" s="50" t="str">
        <f>IF(COUNTIF(AB_Table[Абревиатура],A52)&gt;1,"DOUBLE","")</f>
        <v/>
      </c>
    </row>
    <row r="53" spans="1:5" x14ac:dyDescent="0.25">
      <c r="A53" s="4" t="s">
        <v>785</v>
      </c>
      <c r="B53" s="5" t="s">
        <v>786</v>
      </c>
      <c r="C53" s="6"/>
      <c r="D53" s="6"/>
      <c r="E53" s="49" t="str">
        <f>IF(COUNTIF(AB_Table[Абревиатура],A53)&gt;1,"DOUBLE","")</f>
        <v/>
      </c>
    </row>
    <row r="54" spans="1:5" x14ac:dyDescent="0.25">
      <c r="A54" s="4" t="s">
        <v>342</v>
      </c>
      <c r="B54" s="5" t="s">
        <v>378</v>
      </c>
      <c r="C54" s="6"/>
      <c r="D54" s="6"/>
      <c r="E54" s="48" t="str">
        <f>IF(COUNTIF(AB_Table[Абревиатура],A54)&gt;1,"DOUBLE","")</f>
        <v/>
      </c>
    </row>
    <row r="55" spans="1:5" x14ac:dyDescent="0.25">
      <c r="A55" s="59" t="s">
        <v>504</v>
      </c>
      <c r="B55" s="14" t="s">
        <v>364</v>
      </c>
      <c r="C55" s="15"/>
      <c r="D55" s="15"/>
      <c r="E55" s="48" t="str">
        <f>IF(COUNTIF(AB_Table[Абревиатура],A55)&gt;1,"DOUBLE","")</f>
        <v/>
      </c>
    </row>
    <row r="56" spans="1:5" x14ac:dyDescent="0.25">
      <c r="A56" s="4" t="s">
        <v>49</v>
      </c>
      <c r="B56" s="5" t="s">
        <v>50</v>
      </c>
      <c r="C56" s="9"/>
      <c r="D56" s="9"/>
      <c r="E56" s="48" t="str">
        <f>IF(COUNTIF(AB_Table[Абревиатура],A56)&gt;1,"DOUBLE","")</f>
        <v/>
      </c>
    </row>
    <row r="57" spans="1:5" x14ac:dyDescent="0.25">
      <c r="A57" s="4" t="s">
        <v>787</v>
      </c>
      <c r="B57" s="5" t="s">
        <v>50</v>
      </c>
      <c r="C57" s="6"/>
      <c r="D57" s="6"/>
      <c r="E57" s="49" t="str">
        <f>IF(COUNTIF(AB_Table[Абревиатура],A57)&gt;1,"DOUBLE","")</f>
        <v/>
      </c>
    </row>
    <row r="58" spans="1:5" x14ac:dyDescent="0.25">
      <c r="A58" s="26" t="s">
        <v>430</v>
      </c>
      <c r="B58" s="24" t="s">
        <v>658</v>
      </c>
      <c r="C58" s="40"/>
      <c r="D58" s="40"/>
      <c r="E58" s="48" t="str">
        <f>IF(COUNTIF(AB_Table[Абревиатура],A58)&gt;1,"DOUBLE","")</f>
        <v/>
      </c>
    </row>
    <row r="59" spans="1:5" x14ac:dyDescent="0.25">
      <c r="A59" s="4" t="s">
        <v>788</v>
      </c>
      <c r="B59" s="5" t="s">
        <v>658</v>
      </c>
      <c r="C59" s="6"/>
      <c r="D59" s="6"/>
      <c r="E59" s="49" t="str">
        <f>IF(COUNTIF(AB_Table[Абревиатура],A59)&gt;1,"DOUBLE","")</f>
        <v/>
      </c>
    </row>
    <row r="60" spans="1:5" x14ac:dyDescent="0.25">
      <c r="A60" s="4" t="s">
        <v>186</v>
      </c>
      <c r="B60" s="5" t="s">
        <v>591</v>
      </c>
      <c r="C60" s="6"/>
      <c r="D60" s="6"/>
      <c r="E60" s="48" t="str">
        <f>IF(COUNTIF(AB_Table[Абревиатура],A60)&gt;1,"DOUBLE","")</f>
        <v/>
      </c>
    </row>
    <row r="61" spans="1:5" x14ac:dyDescent="0.25">
      <c r="A61" s="4" t="s">
        <v>789</v>
      </c>
      <c r="B61" s="5" t="s">
        <v>790</v>
      </c>
      <c r="C61" s="6"/>
      <c r="D61" s="6"/>
      <c r="E61" s="49" t="str">
        <f>IF(COUNTIF(AB_Table[Абревиатура],A61)&gt;1,"DOUBLE","")</f>
        <v/>
      </c>
    </row>
    <row r="62" spans="1:5" x14ac:dyDescent="0.25">
      <c r="A62" s="4" t="s">
        <v>329</v>
      </c>
      <c r="B62" s="5" t="s">
        <v>379</v>
      </c>
      <c r="C62" s="9"/>
      <c r="D62" s="9"/>
      <c r="E62" s="48" t="str">
        <f>IF(COUNTIF(AB_Table[Абревиатура],A62)&gt;1,"DOUBLE","")</f>
        <v/>
      </c>
    </row>
    <row r="63" spans="1:5" x14ac:dyDescent="0.25">
      <c r="A63" s="4" t="s">
        <v>439</v>
      </c>
      <c r="B63" s="5" t="s">
        <v>592</v>
      </c>
      <c r="C63" s="9"/>
      <c r="D63" s="9" t="s">
        <v>486</v>
      </c>
      <c r="E63" s="48" t="str">
        <f>IF(COUNTIF(AB_Table[Абревиатура],A63)&gt;1,"DOUBLE","")</f>
        <v/>
      </c>
    </row>
    <row r="64" spans="1:5" x14ac:dyDescent="0.25">
      <c r="A64" s="4" t="s">
        <v>382</v>
      </c>
      <c r="B64" s="5" t="s">
        <v>383</v>
      </c>
      <c r="C64" s="9"/>
      <c r="D64" s="9"/>
      <c r="E64" s="48" t="str">
        <f>IF(COUNTIF(AB_Table[Абревиатура],A64)&gt;1,"DOUBLE","")</f>
        <v/>
      </c>
    </row>
    <row r="65" spans="1:5" x14ac:dyDescent="0.25">
      <c r="A65" s="4" t="s">
        <v>397</v>
      </c>
      <c r="B65" s="5" t="s">
        <v>398</v>
      </c>
      <c r="C65" s="9"/>
      <c r="D65" s="9"/>
      <c r="E65" s="48" t="str">
        <f>IF(COUNTIF(AB_Table[Абревиатура],A65)&gt;1,"DOUBLE","")</f>
        <v/>
      </c>
    </row>
    <row r="66" spans="1:5" x14ac:dyDescent="0.25">
      <c r="A66" s="4" t="s">
        <v>22</v>
      </c>
      <c r="B66" s="5" t="s">
        <v>23</v>
      </c>
      <c r="C66" s="9"/>
      <c r="D66" s="9"/>
      <c r="E66" s="48" t="str">
        <f>IF(COUNTIF(AB_Table[Абревиатура],A66)&gt;1,"DOUBLE","")</f>
        <v/>
      </c>
    </row>
    <row r="67" spans="1:5" x14ac:dyDescent="0.25">
      <c r="A67" s="4" t="s">
        <v>202</v>
      </c>
      <c r="B67" s="5" t="s">
        <v>380</v>
      </c>
      <c r="C67" s="9"/>
      <c r="D67" s="9"/>
      <c r="E67" s="48" t="str">
        <f>IF(COUNTIF(AB_Table[Абревиатура],A67)&gt;1,"DOUBLE","")</f>
        <v/>
      </c>
    </row>
    <row r="68" spans="1:5" x14ac:dyDescent="0.25">
      <c r="A68" s="26" t="s">
        <v>731</v>
      </c>
      <c r="B68" s="24" t="s">
        <v>732</v>
      </c>
      <c r="C68" s="25"/>
      <c r="D68" s="25"/>
      <c r="E68" s="50" t="str">
        <f>IF(COUNTIF(AB_Table[Абревиатура],A68)&gt;1,"DOUBLE","")</f>
        <v/>
      </c>
    </row>
    <row r="69" spans="1:5" x14ac:dyDescent="0.25">
      <c r="A69" s="4" t="s">
        <v>188</v>
      </c>
      <c r="B69" s="28" t="s">
        <v>575</v>
      </c>
      <c r="C69" s="8"/>
      <c r="D69" s="8" t="s">
        <v>218</v>
      </c>
      <c r="E69" s="48" t="str">
        <f>IF(COUNTIF(AB_Table[Абревиатура],A69)&gt;1,"DOUBLE","")</f>
        <v/>
      </c>
    </row>
    <row r="70" spans="1:5" x14ac:dyDescent="0.25">
      <c r="A70" s="4" t="s">
        <v>761</v>
      </c>
      <c r="B70" s="5" t="s">
        <v>762</v>
      </c>
      <c r="C70" s="9"/>
      <c r="D70" s="9"/>
      <c r="E70" s="50" t="str">
        <f>IF(COUNTIF(AB_Table[Абревиатура],A70)&gt;1,"DOUBLE","")</f>
        <v/>
      </c>
    </row>
    <row r="71" spans="1:5" x14ac:dyDescent="0.25">
      <c r="A71" s="4" t="s">
        <v>318</v>
      </c>
      <c r="B71" s="5"/>
      <c r="C71" s="8"/>
      <c r="D71" s="8"/>
      <c r="E71" s="48" t="str">
        <f>IF(COUNTIF(AB_Table[Абревиатура],A71)&gt;1,"DOUBLE","")</f>
        <v/>
      </c>
    </row>
    <row r="72" spans="1:5" x14ac:dyDescent="0.25">
      <c r="A72" s="26" t="s">
        <v>684</v>
      </c>
      <c r="B72" s="24" t="s">
        <v>691</v>
      </c>
      <c r="C72" s="39"/>
      <c r="D72" s="39"/>
      <c r="E72" s="48" t="str">
        <f>IF(COUNTIF(AB_Table[Абревиатура],A72)&gt;1,"DOUBLE","")</f>
        <v/>
      </c>
    </row>
    <row r="73" spans="1:5" x14ac:dyDescent="0.25">
      <c r="A73" s="4" t="s">
        <v>791</v>
      </c>
      <c r="B73" s="5" t="s">
        <v>792</v>
      </c>
      <c r="C73" s="6"/>
      <c r="D73" s="6"/>
      <c r="E73" s="49" t="str">
        <f>IF(COUNTIF(AB_Table[Абревиатура],A73)&gt;1,"DOUBLE","")</f>
        <v/>
      </c>
    </row>
    <row r="74" spans="1:5" x14ac:dyDescent="0.25">
      <c r="A74" s="11" t="s">
        <v>24</v>
      </c>
      <c r="B74" s="11" t="s">
        <v>25</v>
      </c>
      <c r="C74" s="9"/>
      <c r="D74" s="9"/>
      <c r="E74" s="48" t="str">
        <f>IF(COUNTIF(AB_Table[Абревиатура],A74)&gt;1,"DOUBLE","")</f>
        <v/>
      </c>
    </row>
    <row r="75" spans="1:5" x14ac:dyDescent="0.25">
      <c r="A75" s="11" t="s">
        <v>26</v>
      </c>
      <c r="B75" s="11" t="s">
        <v>27</v>
      </c>
      <c r="C75" s="9"/>
      <c r="D75" s="9"/>
      <c r="E75" s="48" t="str">
        <f>IF(COUNTIF(AB_Table[Абревиатура],A75)&gt;1,"DOUBLE","")</f>
        <v/>
      </c>
    </row>
    <row r="76" spans="1:5" x14ac:dyDescent="0.25">
      <c r="A76" s="11" t="s">
        <v>28</v>
      </c>
      <c r="B76" s="11" t="s">
        <v>710</v>
      </c>
      <c r="C76" s="6"/>
      <c r="D76" s="6"/>
      <c r="E76" s="48" t="str">
        <f>IF(COUNTIF(AB_Table[Абревиатура],A76)&gt;1,"DOUBLE","")</f>
        <v/>
      </c>
    </row>
    <row r="77" spans="1:5" x14ac:dyDescent="0.25">
      <c r="A77" s="11" t="s">
        <v>793</v>
      </c>
      <c r="B77" s="11" t="s">
        <v>794</v>
      </c>
      <c r="C77" s="6"/>
      <c r="D77" s="6"/>
      <c r="E77" s="49" t="str">
        <f>IF(COUNTIF(AB_Table[Абревиатура],A77)&gt;1,"DOUBLE","")</f>
        <v/>
      </c>
    </row>
    <row r="78" spans="1:5" x14ac:dyDescent="0.25">
      <c r="A78" s="11" t="s">
        <v>341</v>
      </c>
      <c r="B78" s="11" t="s">
        <v>742</v>
      </c>
      <c r="C78" s="8"/>
      <c r="D78" s="8"/>
      <c r="E78" s="48" t="str">
        <f>IF(COUNTIF(AB_Table[Абревиатура],A78)&gt;1,"DOUBLE","")</f>
        <v/>
      </c>
    </row>
    <row r="79" spans="1:5" x14ac:dyDescent="0.25">
      <c r="A79" s="11" t="s">
        <v>326</v>
      </c>
      <c r="B79" s="11"/>
      <c r="C79" s="8"/>
      <c r="D79" s="8"/>
      <c r="E79" s="48" t="str">
        <f>IF(COUNTIF(AB_Table[Абревиатура],A79)&gt;1,"DOUBLE","")</f>
        <v/>
      </c>
    </row>
    <row r="80" spans="1:5" x14ac:dyDescent="0.25">
      <c r="A80" s="11" t="s">
        <v>29</v>
      </c>
      <c r="B80" s="11" t="s">
        <v>30</v>
      </c>
      <c r="C80" s="9"/>
      <c r="D80" s="9"/>
      <c r="E80" s="48" t="str">
        <f>IF(COUNTIF(AB_Table[Абревиатура],A80)&gt;1,"DOUBLE","")</f>
        <v/>
      </c>
    </row>
    <row r="81" spans="1:5" x14ac:dyDescent="0.25">
      <c r="A81" s="11" t="s">
        <v>335</v>
      </c>
      <c r="B81" s="11" t="s">
        <v>381</v>
      </c>
      <c r="C81" s="6"/>
      <c r="D81" s="6"/>
      <c r="E81" s="48" t="str">
        <f>IF(COUNTIF(AB_Table[Абревиатура],A81)&gt;1,"DOUBLE","")</f>
        <v/>
      </c>
    </row>
    <row r="82" spans="1:5" x14ac:dyDescent="0.25">
      <c r="A82" s="11" t="s">
        <v>31</v>
      </c>
      <c r="B82" s="11" t="s">
        <v>32</v>
      </c>
      <c r="C82" s="6"/>
      <c r="D82" s="6"/>
      <c r="E82" s="48" t="str">
        <f>IF(COUNTIF(AB_Table[Абревиатура],A82)&gt;1,"DOUBLE","")</f>
        <v/>
      </c>
    </row>
    <row r="83" spans="1:5" x14ac:dyDescent="0.25">
      <c r="A83" s="11" t="s">
        <v>33</v>
      </c>
      <c r="B83" s="11" t="s">
        <v>34</v>
      </c>
      <c r="C83" s="6"/>
      <c r="D83" s="6"/>
      <c r="E83" s="48" t="str">
        <f>IF(COUNTIF(AB_Table[Абревиатура],A83)&gt;1,"DOUBLE","")</f>
        <v/>
      </c>
    </row>
    <row r="84" spans="1:5" x14ac:dyDescent="0.25">
      <c r="A84" s="27" t="s">
        <v>620</v>
      </c>
      <c r="B84" s="27" t="s">
        <v>643</v>
      </c>
      <c r="C84" s="25"/>
      <c r="D84" s="25" t="s">
        <v>644</v>
      </c>
      <c r="E84" s="48" t="str">
        <f>IF(COUNTIF(AB_Table[Абревиатура],A84)&gt;1,"DOUBLE","")</f>
        <v/>
      </c>
    </row>
    <row r="85" spans="1:5" x14ac:dyDescent="0.25">
      <c r="A85" s="51" t="s">
        <v>512</v>
      </c>
      <c r="B85" s="11" t="s">
        <v>514</v>
      </c>
      <c r="C85" s="9"/>
      <c r="D85" s="9"/>
      <c r="E85" s="48" t="str">
        <f>IF(COUNTIF(AB_Table[Абревиатура],A85)&gt;1,"DOUBLE","")</f>
        <v/>
      </c>
    </row>
    <row r="86" spans="1:5" x14ac:dyDescent="0.25">
      <c r="A86" s="11" t="s">
        <v>35</v>
      </c>
      <c r="B86" s="11" t="s">
        <v>36</v>
      </c>
      <c r="C86" s="9"/>
      <c r="D86" s="9"/>
      <c r="E86" s="48" t="str">
        <f>IF(COUNTIF(AB_Table[Абревиатура],A86)&gt;1,"DOUBLE","")</f>
        <v/>
      </c>
    </row>
    <row r="87" spans="1:5" x14ac:dyDescent="0.25">
      <c r="A87" s="11" t="s">
        <v>312</v>
      </c>
      <c r="B87" s="11" t="s">
        <v>593</v>
      </c>
      <c r="C87" s="8"/>
      <c r="D87" s="8" t="s">
        <v>313</v>
      </c>
      <c r="E87" s="48" t="str">
        <f>IF(COUNTIF(AB_Table[Абревиатура],A87)&gt;1,"DOUBLE","")</f>
        <v/>
      </c>
    </row>
    <row r="88" spans="1:5" x14ac:dyDescent="0.25">
      <c r="A88" s="11" t="s">
        <v>795</v>
      </c>
      <c r="B88" s="11" t="s">
        <v>796</v>
      </c>
      <c r="C88" s="6"/>
      <c r="D88" s="6"/>
      <c r="E88" s="49" t="str">
        <f>IF(COUNTIF(AB_Table[Абревиатура],A88)&gt;1,"DOUBLE","")</f>
        <v/>
      </c>
    </row>
    <row r="89" spans="1:5" x14ac:dyDescent="0.25">
      <c r="A89" s="11" t="s">
        <v>37</v>
      </c>
      <c r="B89" s="11" t="s">
        <v>38</v>
      </c>
      <c r="C89" s="9"/>
      <c r="D89" s="9"/>
      <c r="E89" s="48" t="str">
        <f>IF(COUNTIF(AB_Table[Абревиатура],A89)&gt;1,"DOUBLE","")</f>
        <v/>
      </c>
    </row>
    <row r="90" spans="1:5" x14ac:dyDescent="0.25">
      <c r="A90" s="11" t="s">
        <v>797</v>
      </c>
      <c r="B90" s="11" t="s">
        <v>38</v>
      </c>
      <c r="C90" s="6"/>
      <c r="D90" s="6"/>
      <c r="E90" s="49" t="str">
        <f>IF(COUNTIF(AB_Table[Абревиатура],A90)&gt;1,"DOUBLE","")</f>
        <v/>
      </c>
    </row>
    <row r="91" spans="1:5" ht="24" x14ac:dyDescent="0.25">
      <c r="A91" s="11" t="s">
        <v>303</v>
      </c>
      <c r="B91" s="11"/>
      <c r="C91" s="8"/>
      <c r="D91" s="8" t="s">
        <v>304</v>
      </c>
      <c r="E91" s="48" t="str">
        <f>IF(COUNTIF(AB_Table[Абревиатура],A91)&gt;1,"DOUBLE","")</f>
        <v/>
      </c>
    </row>
    <row r="92" spans="1:5" x14ac:dyDescent="0.25">
      <c r="A92" s="11" t="s">
        <v>393</v>
      </c>
      <c r="B92" s="11" t="s">
        <v>394</v>
      </c>
      <c r="C92" s="6"/>
      <c r="D92" s="6"/>
      <c r="E92" s="49" t="str">
        <f>IF(COUNTIF(AB_Table[Абревиатура],A92)&gt;1,"DOUBLE","")</f>
        <v/>
      </c>
    </row>
    <row r="93" spans="1:5" x14ac:dyDescent="0.25">
      <c r="A93" s="11" t="s">
        <v>699</v>
      </c>
      <c r="B93" s="11" t="s">
        <v>707</v>
      </c>
      <c r="C93" s="9"/>
      <c r="D93" s="9"/>
      <c r="E93" s="50" t="str">
        <f>IF(COUNTIF(AB_Table[Абревиатура],A93)&gt;1,"DOUBLE","")</f>
        <v/>
      </c>
    </row>
    <row r="94" spans="1:5" x14ac:dyDescent="0.25">
      <c r="A94" s="11" t="s">
        <v>431</v>
      </c>
      <c r="B94" s="11" t="s">
        <v>487</v>
      </c>
      <c r="C94" s="9"/>
      <c r="D94" s="9"/>
      <c r="E94" s="48" t="str">
        <f>IF(COUNTIF(AB_Table[Абревиатура],A94)&gt;1,"DOUBLE","")</f>
        <v/>
      </c>
    </row>
    <row r="95" spans="1:5" x14ac:dyDescent="0.25">
      <c r="A95" s="11" t="s">
        <v>798</v>
      </c>
      <c r="B95" s="11" t="s">
        <v>799</v>
      </c>
      <c r="C95" s="6"/>
      <c r="D95" s="6"/>
      <c r="E95" s="49" t="str">
        <f>IF(COUNTIF(AB_Table[Абревиатура],A95)&gt;1,"DOUBLE","")</f>
        <v/>
      </c>
    </row>
    <row r="96" spans="1:5" x14ac:dyDescent="0.25">
      <c r="A96" s="11" t="s">
        <v>191</v>
      </c>
      <c r="B96" s="11" t="s">
        <v>223</v>
      </c>
      <c r="C96" s="8"/>
      <c r="D96" s="8" t="s">
        <v>224</v>
      </c>
      <c r="E96" s="48" t="str">
        <f>IF(COUNTIF(AB_Table[Абревиатура],A96)&gt;1,"DOUBLE","")</f>
        <v/>
      </c>
    </row>
    <row r="97" spans="1:5" x14ac:dyDescent="0.25">
      <c r="A97" s="11" t="s">
        <v>190</v>
      </c>
      <c r="B97" s="11" t="s">
        <v>219</v>
      </c>
      <c r="C97" s="8"/>
      <c r="D97" s="8" t="s">
        <v>222</v>
      </c>
      <c r="E97" s="48" t="str">
        <f>IF(COUNTIF(AB_Table[Абревиатура],A97)&gt;1,"DOUBLE","")</f>
        <v/>
      </c>
    </row>
    <row r="98" spans="1:5" x14ac:dyDescent="0.25">
      <c r="A98" s="11" t="s">
        <v>39</v>
      </c>
      <c r="B98" s="11" t="s">
        <v>40</v>
      </c>
      <c r="C98" s="9"/>
      <c r="D98" s="9"/>
      <c r="E98" s="48" t="str">
        <f>IF(COUNTIF(AB_Table[Абревиатура],A98)&gt;1,"DOUBLE","")</f>
        <v/>
      </c>
    </row>
    <row r="99" spans="1:5" x14ac:dyDescent="0.25">
      <c r="A99" s="11" t="s">
        <v>199</v>
      </c>
      <c r="B99" s="11" t="s">
        <v>392</v>
      </c>
      <c r="C99" s="6"/>
      <c r="D99" s="6" t="s">
        <v>297</v>
      </c>
      <c r="E99" s="48" t="str">
        <f>IF(COUNTIF(AB_Table[Абревиатура],A99)&gt;1,"DOUBLE","")</f>
        <v/>
      </c>
    </row>
    <row r="100" spans="1:5" x14ac:dyDescent="0.25">
      <c r="A100" s="11" t="s">
        <v>229</v>
      </c>
      <c r="B100" s="11"/>
      <c r="C100" s="8"/>
      <c r="D100" s="8" t="s">
        <v>297</v>
      </c>
      <c r="E100" s="48" t="str">
        <f>IF(COUNTIF(AB_Table[Абревиатура],A100)&gt;1,"DOUBLE","")</f>
        <v/>
      </c>
    </row>
    <row r="101" spans="1:5" x14ac:dyDescent="0.25">
      <c r="A101" s="11" t="s">
        <v>422</v>
      </c>
      <c r="B101" s="11" t="s">
        <v>423</v>
      </c>
      <c r="C101" s="6"/>
      <c r="D101" s="6"/>
      <c r="E101" s="48" t="str">
        <f>IF(COUNTIF(AB_Table[Абревиатура],A101)&gt;1,"DOUBLE","")</f>
        <v/>
      </c>
    </row>
    <row r="102" spans="1:5" x14ac:dyDescent="0.25">
      <c r="A102" s="11" t="s">
        <v>440</v>
      </c>
      <c r="B102" s="11" t="s">
        <v>488</v>
      </c>
      <c r="C102" s="6"/>
      <c r="D102" s="6"/>
      <c r="E102" s="48" t="str">
        <f>IF(COUNTIF(AB_Table[Абревиатура],A102)&gt;1,"DOUBLE","")</f>
        <v/>
      </c>
    </row>
    <row r="103" spans="1:5" x14ac:dyDescent="0.25">
      <c r="A103" s="11" t="s">
        <v>800</v>
      </c>
      <c r="B103" s="11" t="s">
        <v>801</v>
      </c>
      <c r="C103" s="6"/>
      <c r="D103" s="6"/>
      <c r="E103" s="49" t="str">
        <f>IF(COUNTIF(AB_Table[Абревиатура],A103)&gt;1,"DOUBLE","")</f>
        <v/>
      </c>
    </row>
    <row r="104" spans="1:5" x14ac:dyDescent="0.25">
      <c r="A104" s="11" t="s">
        <v>628</v>
      </c>
      <c r="B104" s="11" t="s">
        <v>629</v>
      </c>
      <c r="C104" s="9"/>
      <c r="D104" s="9"/>
      <c r="E104" s="48" t="str">
        <f>IF(COUNTIF(AB_Table[Абревиатура],A104)&gt;1,"DOUBLE","")</f>
        <v/>
      </c>
    </row>
    <row r="105" spans="1:5" x14ac:dyDescent="0.25">
      <c r="A105" s="11" t="s">
        <v>441</v>
      </c>
      <c r="B105" s="11" t="s">
        <v>489</v>
      </c>
      <c r="C105" s="9"/>
      <c r="D105" s="9"/>
      <c r="E105" s="48" t="str">
        <f>IF(COUNTIF(AB_Table[Абревиатура],A105)&gt;1,"DOUBLE","")</f>
        <v/>
      </c>
    </row>
    <row r="106" spans="1:5" x14ac:dyDescent="0.25">
      <c r="A106" s="11" t="s">
        <v>697</v>
      </c>
      <c r="B106" s="11" t="s">
        <v>698</v>
      </c>
      <c r="C106" s="9"/>
      <c r="D106" s="9"/>
      <c r="E106" s="50" t="str">
        <f>IF(COUNTIF(AB_Table[Абревиатура],A106)&gt;1,"DOUBLE","")</f>
        <v/>
      </c>
    </row>
    <row r="107" spans="1:5" x14ac:dyDescent="0.25">
      <c r="A107" s="11" t="s">
        <v>802</v>
      </c>
      <c r="B107" s="11" t="s">
        <v>803</v>
      </c>
      <c r="C107" s="6"/>
      <c r="D107" s="6"/>
      <c r="E107" s="49" t="str">
        <f>IF(COUNTIF(AB_Table[Абревиатура],A107)&gt;1,"DOUBLE","")</f>
        <v/>
      </c>
    </row>
    <row r="108" spans="1:5" x14ac:dyDescent="0.25">
      <c r="A108" s="51" t="s">
        <v>509</v>
      </c>
      <c r="B108" s="11" t="s">
        <v>513</v>
      </c>
      <c r="C108" s="9"/>
      <c r="D108" s="9"/>
      <c r="E108" s="48" t="str">
        <f>IF(COUNTIF(AB_Table[Абревиатура],A108)&gt;1,"DOUBLE","")</f>
        <v/>
      </c>
    </row>
    <row r="109" spans="1:5" x14ac:dyDescent="0.25">
      <c r="A109" s="11" t="s">
        <v>804</v>
      </c>
      <c r="B109" s="11" t="s">
        <v>805</v>
      </c>
      <c r="C109" s="6"/>
      <c r="D109" s="6"/>
      <c r="E109" s="49" t="str">
        <f>IF(COUNTIF(AB_Table[Абревиатура],A109)&gt;1,"DOUBLE","")</f>
        <v/>
      </c>
    </row>
    <row r="110" spans="1:5" x14ac:dyDescent="0.25">
      <c r="A110" s="11" t="s">
        <v>41</v>
      </c>
      <c r="B110" s="11" t="s">
        <v>42</v>
      </c>
      <c r="C110" s="9"/>
      <c r="D110" s="9"/>
      <c r="E110" s="48" t="str">
        <f>IF(COUNTIF(AB_Table[Абревиатура],A110)&gt;1,"DOUBLE","")</f>
        <v/>
      </c>
    </row>
    <row r="111" spans="1:5" x14ac:dyDescent="0.25">
      <c r="A111" s="11" t="s">
        <v>189</v>
      </c>
      <c r="B111" s="11" t="s">
        <v>220</v>
      </c>
      <c r="C111" s="8"/>
      <c r="D111" s="8" t="s">
        <v>221</v>
      </c>
      <c r="E111" s="48" t="str">
        <f>IF(COUNTIF(AB_Table[Абревиатура],A111)&gt;1,"DOUBLE","")</f>
        <v/>
      </c>
    </row>
    <row r="112" spans="1:5" x14ac:dyDescent="0.25">
      <c r="A112" s="11" t="s">
        <v>806</v>
      </c>
      <c r="B112" s="11" t="s">
        <v>807</v>
      </c>
      <c r="C112" s="6"/>
      <c r="D112" s="6"/>
      <c r="E112" s="49" t="str">
        <f>IF(COUNTIF(AB_Table[Абревиатура],A112)&gt;1,"DOUBLE","")</f>
        <v/>
      </c>
    </row>
    <row r="113" spans="1:5" x14ac:dyDescent="0.25">
      <c r="A113" s="11" t="s">
        <v>355</v>
      </c>
      <c r="B113" s="11" t="s">
        <v>594</v>
      </c>
      <c r="C113" s="6"/>
      <c r="D113" s="6"/>
      <c r="E113" s="48" t="str">
        <f>IF(COUNTIF(AB_Table[Абревиатура],A113)&gt;1,"DOUBLE","")</f>
        <v/>
      </c>
    </row>
    <row r="114" spans="1:5" x14ac:dyDescent="0.25">
      <c r="A114" s="11" t="s">
        <v>272</v>
      </c>
      <c r="B114" s="11" t="s">
        <v>808</v>
      </c>
      <c r="C114" s="8"/>
      <c r="D114" s="8" t="s">
        <v>305</v>
      </c>
      <c r="E114" s="48" t="str">
        <f>IF(COUNTIF(AB_Table[Абревиатура],A114)&gt;1,"DOUBLE","")</f>
        <v/>
      </c>
    </row>
    <row r="115" spans="1:5" x14ac:dyDescent="0.25">
      <c r="A115" s="11" t="s">
        <v>286</v>
      </c>
      <c r="B115" s="11" t="s">
        <v>359</v>
      </c>
      <c r="C115" s="6"/>
      <c r="D115" s="8" t="s">
        <v>314</v>
      </c>
      <c r="E115" s="48" t="str">
        <f>IF(COUNTIF(AB_Table[Абревиатура],A115)&gt;1,"DOUBLE","")</f>
        <v/>
      </c>
    </row>
    <row r="116" spans="1:5" x14ac:dyDescent="0.25">
      <c r="A116" s="11" t="s">
        <v>718</v>
      </c>
      <c r="B116" s="11" t="s">
        <v>719</v>
      </c>
      <c r="C116" s="9"/>
      <c r="D116" s="9"/>
      <c r="E116" s="50" t="str">
        <f>IF(COUNTIF(AB_Table[Абревиатура],A116)&gt;1,"DOUBLE","")</f>
        <v/>
      </c>
    </row>
    <row r="117" spans="1:5" x14ac:dyDescent="0.25">
      <c r="A117" s="11" t="s">
        <v>541</v>
      </c>
      <c r="B117" s="36" t="s">
        <v>647</v>
      </c>
      <c r="C117" s="6"/>
      <c r="D117" s="6"/>
      <c r="E117" s="48" t="str">
        <f>IF(COUNTIF(AB_Table[Абревиатура],A117)&gt;1,"DOUBLE","")</f>
        <v/>
      </c>
    </row>
    <row r="118" spans="1:5" x14ac:dyDescent="0.25">
      <c r="A118" s="11" t="s">
        <v>809</v>
      </c>
      <c r="B118" s="11" t="s">
        <v>810</v>
      </c>
      <c r="C118" s="6"/>
      <c r="D118" s="6"/>
      <c r="E118" s="49" t="str">
        <f>IF(COUNTIF(AB_Table[Абревиатура],A118)&gt;1,"DOUBLE","")</f>
        <v/>
      </c>
    </row>
    <row r="119" spans="1:5" x14ac:dyDescent="0.25">
      <c r="A119" s="11" t="s">
        <v>43</v>
      </c>
      <c r="B119" s="11" t="s">
        <v>44</v>
      </c>
      <c r="C119" s="9"/>
      <c r="D119" s="9" t="s">
        <v>528</v>
      </c>
      <c r="E119" s="48" t="str">
        <f>IF(COUNTIF(AB_Table[Абревиатура],A119)&gt;1,"DOUBLE","")</f>
        <v/>
      </c>
    </row>
    <row r="120" spans="1:5" x14ac:dyDescent="0.25">
      <c r="A120" s="11" t="s">
        <v>811</v>
      </c>
      <c r="B120" s="11" t="s">
        <v>812</v>
      </c>
      <c r="C120" s="6"/>
      <c r="D120" s="6"/>
      <c r="E120" s="49" t="str">
        <f>IF(COUNTIF(AB_Table[Абревиатура],A120)&gt;1,"DOUBLE","")</f>
        <v/>
      </c>
    </row>
    <row r="121" spans="1:5" x14ac:dyDescent="0.25">
      <c r="A121" s="22" t="s">
        <v>555</v>
      </c>
      <c r="B121" s="22" t="s">
        <v>556</v>
      </c>
      <c r="C121" s="21"/>
      <c r="D121" s="21"/>
      <c r="E121" s="48" t="str">
        <f>IF(COUNTIF(AB_Table[Абревиатура],A121)&gt;1,"DOUBLE","")</f>
        <v/>
      </c>
    </row>
    <row r="122" spans="1:5" ht="24" x14ac:dyDescent="0.25">
      <c r="A122" s="27" t="s">
        <v>639</v>
      </c>
      <c r="B122" s="27" t="s">
        <v>659</v>
      </c>
      <c r="C122" s="40"/>
      <c r="D122" s="40" t="s">
        <v>653</v>
      </c>
      <c r="E122" s="48" t="str">
        <f>IF(COUNTIF(AB_Table[Абревиатура],A122)&gt;1,"DOUBLE","")</f>
        <v/>
      </c>
    </row>
    <row r="123" spans="1:5" x14ac:dyDescent="0.25">
      <c r="A123" s="11" t="s">
        <v>45</v>
      </c>
      <c r="B123" s="11" t="s">
        <v>46</v>
      </c>
      <c r="C123" s="7"/>
      <c r="D123" s="7" t="s">
        <v>281</v>
      </c>
      <c r="E123" s="48" t="str">
        <f>IF(COUNTIF(AB_Table[Абревиатура],A123)&gt;1,"DOUBLE","")</f>
        <v/>
      </c>
    </row>
    <row r="124" spans="1:5" x14ac:dyDescent="0.25">
      <c r="A124" s="11" t="s">
        <v>361</v>
      </c>
      <c r="B124" s="11" t="s">
        <v>595</v>
      </c>
      <c r="C124" s="6"/>
      <c r="D124" s="6"/>
      <c r="E124" s="48" t="str">
        <f>IF(COUNTIF(AB_Table[Абревиатура],A124)&gt;1,"DOUBLE","")</f>
        <v/>
      </c>
    </row>
    <row r="125" spans="1:5" x14ac:dyDescent="0.25">
      <c r="A125" s="11" t="s">
        <v>363</v>
      </c>
      <c r="B125" s="33" t="s">
        <v>578</v>
      </c>
      <c r="C125" s="6"/>
      <c r="D125" s="6" t="s">
        <v>559</v>
      </c>
      <c r="E125" s="48" t="str">
        <f>IF(COUNTIF(AB_Table[Абревиатура],A125)&gt;1,"DOUBLE","")</f>
        <v/>
      </c>
    </row>
    <row r="126" spans="1:5" x14ac:dyDescent="0.25">
      <c r="A126" s="27" t="s">
        <v>564</v>
      </c>
      <c r="B126" s="27"/>
      <c r="C126" s="25"/>
      <c r="D126" s="25" t="s">
        <v>565</v>
      </c>
      <c r="E126" s="48" t="str">
        <f>IF(COUNTIF(AB_Table[Абревиатура],A126)&gt;1,"DOUBLE","")</f>
        <v/>
      </c>
    </row>
    <row r="127" spans="1:5" x14ac:dyDescent="0.25">
      <c r="A127" s="11" t="s">
        <v>1147</v>
      </c>
      <c r="B127" s="11" t="s">
        <v>1149</v>
      </c>
      <c r="C127" s="6"/>
      <c r="D127" s="6"/>
      <c r="E127" s="48" t="str">
        <f>IF(COUNTIF(AB_Table[Абревиатура],A127)&gt;1,"DOUBLE","")</f>
        <v/>
      </c>
    </row>
    <row r="128" spans="1:5" x14ac:dyDescent="0.25">
      <c r="A128" s="11" t="s">
        <v>384</v>
      </c>
      <c r="B128" s="11" t="s">
        <v>385</v>
      </c>
      <c r="C128" s="6"/>
      <c r="D128" s="6"/>
      <c r="E128" s="48" t="str">
        <f>IF(COUNTIF(AB_Table[Абревиатура],A128)&gt;1,"DOUBLE","")</f>
        <v/>
      </c>
    </row>
    <row r="129" spans="1:5" x14ac:dyDescent="0.25">
      <c r="A129" s="11" t="s">
        <v>278</v>
      </c>
      <c r="B129" s="11" t="s">
        <v>279</v>
      </c>
      <c r="C129" s="8"/>
      <c r="D129" s="8" t="s">
        <v>280</v>
      </c>
      <c r="E129" s="48" t="str">
        <f>IF(COUNTIF(AB_Table[Абревиатура],A129)&gt;1,"DOUBLE","")</f>
        <v/>
      </c>
    </row>
    <row r="130" spans="1:5" x14ac:dyDescent="0.25">
      <c r="A130" s="11" t="s">
        <v>183</v>
      </c>
      <c r="B130" s="11" t="s">
        <v>211</v>
      </c>
      <c r="C130" s="8"/>
      <c r="D130" s="8" t="s">
        <v>212</v>
      </c>
      <c r="E130" s="48" t="str">
        <f>IF(COUNTIF(AB_Table[Абревиатура],A130)&gt;1,"DOUBLE","")</f>
        <v/>
      </c>
    </row>
    <row r="131" spans="1:5" x14ac:dyDescent="0.25">
      <c r="A131" s="11" t="s">
        <v>184</v>
      </c>
      <c r="B131" s="11"/>
      <c r="C131" s="8"/>
      <c r="D131" s="8" t="s">
        <v>210</v>
      </c>
      <c r="E131" s="48" t="str">
        <f>IF(COUNTIF(AB_Table[Абревиатура],A131)&gt;1,"DOUBLE","")</f>
        <v/>
      </c>
    </row>
    <row r="132" spans="1:5" x14ac:dyDescent="0.25">
      <c r="A132" s="11" t="s">
        <v>429</v>
      </c>
      <c r="B132" s="11" t="s">
        <v>477</v>
      </c>
      <c r="C132" s="9"/>
      <c r="D132" s="9" t="s">
        <v>478</v>
      </c>
      <c r="E132" s="48" t="str">
        <f>IF(COUNTIF(AB_Table[Абревиатура],A132)&gt;1,"DOUBLE","")</f>
        <v/>
      </c>
    </row>
    <row r="133" spans="1:5" x14ac:dyDescent="0.25">
      <c r="A133" s="11" t="s">
        <v>813</v>
      </c>
      <c r="B133" s="11" t="s">
        <v>814</v>
      </c>
      <c r="C133" s="6"/>
      <c r="D133" s="6"/>
      <c r="E133" s="49" t="str">
        <f>IF(COUNTIF(AB_Table[Абревиатура],A133)&gt;1,"DOUBLE","")</f>
        <v/>
      </c>
    </row>
    <row r="134" spans="1:5" x14ac:dyDescent="0.25">
      <c r="A134" s="11" t="s">
        <v>733</v>
      </c>
      <c r="B134" s="11" t="s">
        <v>754</v>
      </c>
      <c r="C134" s="6"/>
      <c r="D134" s="6"/>
      <c r="E134" s="49" t="str">
        <f>IF(COUNTIF(AB_Table[Абревиатура],A134)&gt;1,"DOUBLE","")</f>
        <v/>
      </c>
    </row>
    <row r="135" spans="1:5" x14ac:dyDescent="0.25">
      <c r="A135" s="11" t="s">
        <v>507</v>
      </c>
      <c r="B135" s="11" t="s">
        <v>47</v>
      </c>
      <c r="C135" s="9"/>
      <c r="D135" s="9"/>
      <c r="E135" s="48" t="str">
        <f>IF(COUNTIF(AB_Table[Абревиатура],A135)&gt;1,"DOUBLE","")</f>
        <v/>
      </c>
    </row>
    <row r="136" spans="1:5" x14ac:dyDescent="0.25">
      <c r="A136" s="11" t="s">
        <v>242</v>
      </c>
      <c r="B136" s="11"/>
      <c r="C136" s="8"/>
      <c r="D136" s="8"/>
      <c r="E136" s="48" t="str">
        <f>IF(COUNTIF(AB_Table[Абревиатура],A136)&gt;1,"DOUBLE","")</f>
        <v/>
      </c>
    </row>
    <row r="137" spans="1:5" x14ac:dyDescent="0.25">
      <c r="A137" s="11" t="s">
        <v>48</v>
      </c>
      <c r="B137" s="11" t="s">
        <v>711</v>
      </c>
      <c r="C137" s="9"/>
      <c r="D137" s="9"/>
      <c r="E137" s="48" t="str">
        <f>IF(COUNTIF(AB_Table[Абревиатура],A137)&gt;1,"DOUBLE","")</f>
        <v/>
      </c>
    </row>
    <row r="138" spans="1:5" x14ac:dyDescent="0.25">
      <c r="A138" s="11" t="s">
        <v>815</v>
      </c>
      <c r="B138" s="11" t="s">
        <v>816</v>
      </c>
      <c r="C138" s="6"/>
      <c r="D138" s="6"/>
      <c r="E138" s="49" t="str">
        <f>IF(COUNTIF(AB_Table[Абревиатура],A138)&gt;1,"DOUBLE","")</f>
        <v/>
      </c>
    </row>
    <row r="139" spans="1:5" x14ac:dyDescent="0.25">
      <c r="A139" s="11" t="s">
        <v>51</v>
      </c>
      <c r="B139" s="11" t="s">
        <v>52</v>
      </c>
      <c r="C139" s="9"/>
      <c r="D139" s="9"/>
      <c r="E139" s="48" t="str">
        <f>IF(COUNTIF(AB_Table[Абревиатура],A139)&gt;1,"DOUBLE","")</f>
        <v/>
      </c>
    </row>
    <row r="140" spans="1:5" x14ac:dyDescent="0.25">
      <c r="A140" s="11" t="s">
        <v>266</v>
      </c>
      <c r="B140" s="11" t="s">
        <v>267</v>
      </c>
      <c r="C140" s="8"/>
      <c r="D140" s="8" t="s">
        <v>268</v>
      </c>
      <c r="E140" s="48" t="str">
        <f>IF(COUNTIF(AB_Table[Абревиатура],A140)&gt;1,"DOUBLE","")</f>
        <v/>
      </c>
    </row>
    <row r="141" spans="1:5" ht="24" x14ac:dyDescent="0.25">
      <c r="A141" s="11" t="s">
        <v>284</v>
      </c>
      <c r="B141" s="11" t="s">
        <v>648</v>
      </c>
      <c r="C141" s="8"/>
      <c r="D141" s="8" t="s">
        <v>283</v>
      </c>
      <c r="E141" s="48" t="str">
        <f>IF(COUNTIF(AB_Table[Абревиатура],A141)&gt;1,"DOUBLE","")</f>
        <v/>
      </c>
    </row>
    <row r="142" spans="1:5" x14ac:dyDescent="0.25">
      <c r="A142" s="11" t="s">
        <v>817</v>
      </c>
      <c r="B142" s="11" t="s">
        <v>818</v>
      </c>
      <c r="C142" s="6"/>
      <c r="D142" s="6"/>
      <c r="E142" s="49" t="str">
        <f>IF(COUNTIF(AB_Table[Абревиатура],A142)&gt;1,"DOUBLE","")</f>
        <v/>
      </c>
    </row>
    <row r="143" spans="1:5" x14ac:dyDescent="0.25">
      <c r="A143" s="11" t="s">
        <v>715</v>
      </c>
      <c r="B143" s="11" t="s">
        <v>53</v>
      </c>
      <c r="C143" s="7"/>
      <c r="D143" s="7"/>
      <c r="E143" s="48" t="str">
        <f>IF(COUNTIF(AB_Table[Абревиатура],A143)&gt;1,"DOUBLE","")</f>
        <v/>
      </c>
    </row>
    <row r="144" spans="1:5" x14ac:dyDescent="0.25">
      <c r="A144" s="27" t="s">
        <v>563</v>
      </c>
      <c r="B144" s="11" t="s">
        <v>1144</v>
      </c>
      <c r="C144" s="25"/>
      <c r="D144" s="25" t="s">
        <v>567</v>
      </c>
      <c r="E144" s="48" t="str">
        <f>IF(COUNTIF(AB_Table[Абревиатура],A144)&gt;1,"DOUBLE","")</f>
        <v/>
      </c>
    </row>
    <row r="145" spans="1:5" x14ac:dyDescent="0.25">
      <c r="A145" s="27" t="s">
        <v>734</v>
      </c>
      <c r="B145" s="27" t="s">
        <v>735</v>
      </c>
      <c r="C145" s="25"/>
      <c r="D145" s="25"/>
      <c r="E145" s="50" t="str">
        <f>IF(COUNTIF(AB_Table[Абревиатура],A145)&gt;1,"DOUBLE","")</f>
        <v/>
      </c>
    </row>
    <row r="146" spans="1:5" x14ac:dyDescent="0.25">
      <c r="A146" s="11" t="s">
        <v>338</v>
      </c>
      <c r="B146" s="11"/>
      <c r="C146" s="8"/>
      <c r="D146" s="8"/>
      <c r="E146" s="48" t="str">
        <f>IF(COUNTIF(AB_Table[Абревиатура],A146)&gt;1,"DOUBLE","")</f>
        <v/>
      </c>
    </row>
    <row r="147" spans="1:5" x14ac:dyDescent="0.25">
      <c r="A147" s="11" t="s">
        <v>337</v>
      </c>
      <c r="B147" s="11"/>
      <c r="C147" s="8"/>
      <c r="D147" s="8"/>
      <c r="E147" s="48" t="str">
        <f>IF(COUNTIF(AB_Table[Абревиатура],A147)&gt;1,"DOUBLE","")</f>
        <v/>
      </c>
    </row>
    <row r="148" spans="1:5" x14ac:dyDescent="0.25">
      <c r="A148" s="11" t="s">
        <v>282</v>
      </c>
      <c r="B148" s="11" t="s">
        <v>596</v>
      </c>
      <c r="C148" s="8"/>
      <c r="D148" s="8" t="s">
        <v>285</v>
      </c>
      <c r="E148" s="48" t="str">
        <f>IF(COUNTIF(AB_Table[Абревиатура],A148)&gt;1,"DOUBLE","")</f>
        <v/>
      </c>
    </row>
    <row r="149" spans="1:5" x14ac:dyDescent="0.25">
      <c r="A149" s="11" t="s">
        <v>54</v>
      </c>
      <c r="B149" s="11" t="s">
        <v>55</v>
      </c>
      <c r="C149" s="9"/>
      <c r="D149" s="9"/>
      <c r="E149" s="48" t="str">
        <f>IF(COUNTIF(AB_Table[Абревиатура],A149)&gt;1,"DOUBLE","")</f>
        <v/>
      </c>
    </row>
    <row r="150" spans="1:5" x14ac:dyDescent="0.25">
      <c r="A150" s="11" t="s">
        <v>56</v>
      </c>
      <c r="B150" s="11" t="s">
        <v>57</v>
      </c>
      <c r="C150" s="9"/>
      <c r="D150" s="9"/>
      <c r="E150" s="48" t="str">
        <f>IF(COUNTIF(AB_Table[Абревиатура],A150)&gt;1,"DOUBLE","")</f>
        <v/>
      </c>
    </row>
    <row r="151" spans="1:5" x14ac:dyDescent="0.25">
      <c r="A151" s="11" t="s">
        <v>58</v>
      </c>
      <c r="B151" s="11" t="s">
        <v>59</v>
      </c>
      <c r="C151" s="9"/>
      <c r="D151" s="9"/>
      <c r="E151" s="48" t="str">
        <f>IF(COUNTIF(AB_Table[Абревиатура],A151)&gt;1,"DOUBLE","")</f>
        <v/>
      </c>
    </row>
    <row r="152" spans="1:5" x14ac:dyDescent="0.25">
      <c r="A152" s="11" t="s">
        <v>60</v>
      </c>
      <c r="B152" s="11" t="s">
        <v>61</v>
      </c>
      <c r="C152" s="9"/>
      <c r="D152" s="9"/>
      <c r="E152" s="48" t="str">
        <f>IF(COUNTIF(AB_Table[Абревиатура],A152)&gt;1,"DOUBLE","")</f>
        <v/>
      </c>
    </row>
    <row r="153" spans="1:5" x14ac:dyDescent="0.25">
      <c r="A153" s="11" t="s">
        <v>180</v>
      </c>
      <c r="B153" s="11" t="s">
        <v>206</v>
      </c>
      <c r="C153" s="8"/>
      <c r="D153" s="8" t="s">
        <v>207</v>
      </c>
      <c r="E153" s="48" t="str">
        <f>IF(COUNTIF(AB_Table[Абревиатура],A153)&gt;1,"DOUBLE","")</f>
        <v/>
      </c>
    </row>
    <row r="154" spans="1:5" x14ac:dyDescent="0.25">
      <c r="A154" s="11" t="s">
        <v>819</v>
      </c>
      <c r="B154" s="11" t="s">
        <v>820</v>
      </c>
      <c r="C154" s="6"/>
      <c r="D154" s="6"/>
      <c r="E154" s="49" t="str">
        <f>IF(COUNTIF(AB_Table[Абревиатура],A154)&gt;1,"DOUBLE","")</f>
        <v/>
      </c>
    </row>
    <row r="155" spans="1:5" x14ac:dyDescent="0.25">
      <c r="A155" t="s">
        <v>510</v>
      </c>
      <c r="B155" s="11" t="s">
        <v>515</v>
      </c>
      <c r="C155" s="9"/>
      <c r="D155" s="9"/>
      <c r="E155" s="48" t="str">
        <f>IF(COUNTIF(AB_Table[Абревиатура],A155)&gt;1,"DOUBLE","")</f>
        <v/>
      </c>
    </row>
    <row r="156" spans="1:5" x14ac:dyDescent="0.25">
      <c r="A156" s="11" t="s">
        <v>442</v>
      </c>
      <c r="B156" s="11" t="s">
        <v>490</v>
      </c>
      <c r="C156" s="6"/>
      <c r="D156" s="6"/>
      <c r="E156" s="48" t="str">
        <f>IF(COUNTIF(AB_Table[Абревиатура],A156)&gt;1,"DOUBLE","")</f>
        <v/>
      </c>
    </row>
    <row r="157" spans="1:5" x14ac:dyDescent="0.25">
      <c r="A157" s="11" t="s">
        <v>195</v>
      </c>
      <c r="B157" s="11" t="s">
        <v>358</v>
      </c>
      <c r="C157" s="6"/>
      <c r="D157" s="6"/>
      <c r="E157" s="48" t="str">
        <f>IF(COUNTIF(AB_Table[Абревиатура],A157)&gt;1,"DOUBLE","")</f>
        <v/>
      </c>
    </row>
    <row r="158" spans="1:5" x14ac:dyDescent="0.25">
      <c r="A158" s="27" t="s">
        <v>443</v>
      </c>
      <c r="B158" s="27" t="s">
        <v>660</v>
      </c>
      <c r="C158" s="40"/>
      <c r="D158" s="40" t="s">
        <v>646</v>
      </c>
      <c r="E158" s="48" t="str">
        <f>IF(COUNTIF(AB_Table[Абревиатура],A158)&gt;1,"DOUBLE","")</f>
        <v/>
      </c>
    </row>
    <row r="159" spans="1:5" x14ac:dyDescent="0.25">
      <c r="A159" s="11" t="s">
        <v>716</v>
      </c>
      <c r="B159" s="11" t="s">
        <v>751</v>
      </c>
      <c r="C159" s="6"/>
      <c r="D159" s="6"/>
      <c r="E159" s="49" t="str">
        <f>IF(COUNTIF(AB_Table[Абревиатура],A159)&gt;1,"DOUBLE","")</f>
        <v/>
      </c>
    </row>
    <row r="160" spans="1:5" x14ac:dyDescent="0.25">
      <c r="A160" s="11" t="s">
        <v>62</v>
      </c>
      <c r="B160" s="11" t="s">
        <v>63</v>
      </c>
      <c r="C160" s="9"/>
      <c r="D160" s="9"/>
      <c r="E160" s="48" t="str">
        <f>IF(COUNTIF(AB_Table[Абревиатура],A160)&gt;1,"DOUBLE","")</f>
        <v/>
      </c>
    </row>
    <row r="161" spans="1:5" x14ac:dyDescent="0.25">
      <c r="A161" s="11" t="s">
        <v>480</v>
      </c>
      <c r="B161" s="11" t="s">
        <v>597</v>
      </c>
      <c r="C161" s="8"/>
      <c r="D161" s="8" t="s">
        <v>248</v>
      </c>
      <c r="E161" s="48" t="str">
        <f>IF(COUNTIF(AB_Table[Абревиатура],A161)&gt;1,"DOUBLE","")</f>
        <v/>
      </c>
    </row>
    <row r="162" spans="1:5" x14ac:dyDescent="0.25">
      <c r="A162" s="11" t="s">
        <v>821</v>
      </c>
      <c r="B162" s="11" t="s">
        <v>822</v>
      </c>
      <c r="C162" s="6"/>
      <c r="D162" s="6"/>
      <c r="E162" s="49" t="str">
        <f>IF(COUNTIF(AB_Table[Абревиатура],A162)&gt;1,"DOUBLE","")</f>
        <v/>
      </c>
    </row>
    <row r="163" spans="1:5" x14ac:dyDescent="0.25">
      <c r="A163" s="11" t="s">
        <v>336</v>
      </c>
      <c r="B163" s="11" t="s">
        <v>758</v>
      </c>
      <c r="C163" s="9"/>
      <c r="D163" s="9"/>
      <c r="E163" s="50" t="str">
        <f>IF(COUNTIF(AB_Table[Абревиатура],A163)&gt;1,"DOUBLE","")</f>
        <v/>
      </c>
    </row>
    <row r="164" spans="1:5" x14ac:dyDescent="0.25">
      <c r="A164" s="11" t="s">
        <v>344</v>
      </c>
      <c r="B164" s="11" t="s">
        <v>366</v>
      </c>
      <c r="C164" s="9"/>
      <c r="D164" s="9"/>
      <c r="E164" s="48" t="str">
        <f>IF(COUNTIF(AB_Table[Абревиатура],A164)&gt;1,"DOUBLE","")</f>
        <v/>
      </c>
    </row>
    <row r="165" spans="1:5" x14ac:dyDescent="0.25">
      <c r="A165" s="16" t="s">
        <v>499</v>
      </c>
      <c r="B165" s="11" t="s">
        <v>598</v>
      </c>
      <c r="C165" s="15"/>
      <c r="D165" s="15"/>
      <c r="E165" s="48" t="str">
        <f>IF(COUNTIF(AB_Table[Абревиатура],A165)&gt;1,"DOUBLE","")</f>
        <v/>
      </c>
    </row>
    <row r="166" spans="1:5" ht="24" x14ac:dyDescent="0.25">
      <c r="A166" s="10" t="s">
        <v>64</v>
      </c>
      <c r="B166" s="5" t="s">
        <v>65</v>
      </c>
      <c r="C166" s="7" t="s">
        <v>256</v>
      </c>
      <c r="D166" s="7" t="s">
        <v>257</v>
      </c>
      <c r="E166" s="48" t="str">
        <f>IF(COUNTIF(AB_Table[Абревиатура],A166)&gt;1,"DOUBLE","")</f>
        <v/>
      </c>
    </row>
    <row r="167" spans="1:5" x14ac:dyDescent="0.25">
      <c r="A167" s="10" t="s">
        <v>1108</v>
      </c>
      <c r="B167" s="5" t="s">
        <v>1135</v>
      </c>
      <c r="C167" s="9"/>
      <c r="D167" s="9"/>
      <c r="E167" s="50" t="str">
        <f>IF(COUNTIF(AB_Table[Абревиатура],A167)&gt;1,"DOUBLE","")</f>
        <v/>
      </c>
    </row>
    <row r="168" spans="1:5" x14ac:dyDescent="0.25">
      <c r="A168" s="10" t="s">
        <v>307</v>
      </c>
      <c r="B168" s="5"/>
      <c r="C168" s="8"/>
      <c r="D168" s="8" t="s">
        <v>306</v>
      </c>
      <c r="E168" s="48" t="str">
        <f>IF(COUNTIF(AB_Table[Абревиатура],A168)&gt;1,"DOUBLE","")</f>
        <v/>
      </c>
    </row>
    <row r="169" spans="1:5" x14ac:dyDescent="0.25">
      <c r="A169" s="11" t="s">
        <v>66</v>
      </c>
      <c r="B169" s="5" t="s">
        <v>67</v>
      </c>
      <c r="C169" s="9"/>
      <c r="D169" s="9"/>
      <c r="E169" s="48" t="str">
        <f>IF(COUNTIF(AB_Table[Абревиатура],A169)&gt;1,"DOUBLE","")</f>
        <v/>
      </c>
    </row>
    <row r="170" spans="1:5" x14ac:dyDescent="0.25">
      <c r="A170" s="11" t="s">
        <v>251</v>
      </c>
      <c r="B170" s="11" t="s">
        <v>479</v>
      </c>
      <c r="C170" s="8"/>
      <c r="D170" s="8" t="s">
        <v>252</v>
      </c>
      <c r="E170" s="48" t="str">
        <f>IF(COUNTIF(AB_Table[Абревиатура],A170)&gt;1,"DOUBLE","")</f>
        <v/>
      </c>
    </row>
    <row r="171" spans="1:5" x14ac:dyDescent="0.25">
      <c r="A171" s="11" t="s">
        <v>823</v>
      </c>
      <c r="B171" s="11" t="s">
        <v>824</v>
      </c>
      <c r="C171" s="6"/>
      <c r="D171" s="6"/>
      <c r="E171" s="49" t="str">
        <f>IF(COUNTIF(AB_Table[Абревиатура],A171)&gt;1,"DOUBLE","")</f>
        <v/>
      </c>
    </row>
    <row r="172" spans="1:5" x14ac:dyDescent="0.25">
      <c r="A172" s="11" t="s">
        <v>240</v>
      </c>
      <c r="B172" s="11" t="s">
        <v>508</v>
      </c>
      <c r="C172" s="8"/>
      <c r="D172" s="8" t="s">
        <v>241</v>
      </c>
      <c r="E172" s="48" t="str">
        <f>IF(COUNTIF(AB_Table[Абревиатура],A172)&gt;1,"DOUBLE","")</f>
        <v/>
      </c>
    </row>
    <row r="173" spans="1:5" x14ac:dyDescent="0.25">
      <c r="A173" s="11" t="s">
        <v>825</v>
      </c>
      <c r="B173" s="11" t="s">
        <v>826</v>
      </c>
      <c r="C173" s="6"/>
      <c r="D173" s="6"/>
      <c r="E173" s="49" t="str">
        <f>IF(COUNTIF(AB_Table[Абревиатура],A173)&gt;1,"DOUBLE","")</f>
        <v/>
      </c>
    </row>
    <row r="174" spans="1:5" x14ac:dyDescent="0.25">
      <c r="A174" s="11" t="s">
        <v>727</v>
      </c>
      <c r="B174" s="11" t="s">
        <v>749</v>
      </c>
      <c r="C174" s="6"/>
      <c r="D174" s="6"/>
      <c r="E174" s="49" t="str">
        <f>IF(COUNTIF(AB_Table[Абревиатура],A174)&gt;1,"DOUBLE","")</f>
        <v/>
      </c>
    </row>
    <row r="175" spans="1:5" ht="24" x14ac:dyDescent="0.25">
      <c r="A175" s="11" t="s">
        <v>205</v>
      </c>
      <c r="B175" s="11" t="s">
        <v>415</v>
      </c>
      <c r="C175" s="9"/>
      <c r="D175" s="8" t="s">
        <v>572</v>
      </c>
      <c r="E175" s="48" t="str">
        <f>IF(COUNTIF(AB_Table[Абревиатура],A175)&gt;1,"DOUBLE","")</f>
        <v/>
      </c>
    </row>
    <row r="176" spans="1:5" x14ac:dyDescent="0.25">
      <c r="A176" s="11" t="s">
        <v>386</v>
      </c>
      <c r="B176" s="11" t="s">
        <v>387</v>
      </c>
      <c r="C176" s="9"/>
      <c r="D176" s="9"/>
      <c r="E176" s="48" t="str">
        <f>IF(COUNTIF(AB_Table[Абревиатура],A176)&gt;1,"DOUBLE","")</f>
        <v/>
      </c>
    </row>
    <row r="177" spans="1:5" ht="24" x14ac:dyDescent="0.25">
      <c r="A177" s="27" t="s">
        <v>444</v>
      </c>
      <c r="B177" s="27" t="s">
        <v>661</v>
      </c>
      <c r="C177" s="40"/>
      <c r="D177" s="40" t="s">
        <v>645</v>
      </c>
      <c r="E177" s="48" t="str">
        <f>IF(COUNTIF(AB_Table[Абревиатура],A177)&gt;1,"DOUBLE","")</f>
        <v/>
      </c>
    </row>
    <row r="178" spans="1:5" x14ac:dyDescent="0.25">
      <c r="A178" s="11" t="s">
        <v>827</v>
      </c>
      <c r="B178" s="11" t="s">
        <v>661</v>
      </c>
      <c r="C178" s="6"/>
      <c r="D178" s="6"/>
      <c r="E178" s="49" t="str">
        <f>IF(COUNTIF(AB_Table[Абревиатура],A178)&gt;1,"DOUBLE","")</f>
        <v/>
      </c>
    </row>
    <row r="179" spans="1:5" x14ac:dyDescent="0.25">
      <c r="A179" s="11" t="s">
        <v>1105</v>
      </c>
      <c r="B179" s="11"/>
      <c r="C179" s="9"/>
      <c r="D179" s="9" t="s">
        <v>1140</v>
      </c>
      <c r="E179" s="50" t="str">
        <f>IF(COUNTIF(AB_Table[Абревиатура],A179)&gt;1,"DOUBLE","")</f>
        <v/>
      </c>
    </row>
    <row r="180" spans="1:5" x14ac:dyDescent="0.25">
      <c r="A180" s="11" t="s">
        <v>194</v>
      </c>
      <c r="B180" s="11" t="s">
        <v>377</v>
      </c>
      <c r="C180" s="9"/>
      <c r="D180" s="9"/>
      <c r="E180" s="48" t="str">
        <f>IF(COUNTIF(AB_Table[Абревиатура],A180)&gt;1,"DOUBLE","")</f>
        <v/>
      </c>
    </row>
    <row r="181" spans="1:5" x14ac:dyDescent="0.25">
      <c r="A181" s="11" t="s">
        <v>619</v>
      </c>
      <c r="B181" s="11" t="s">
        <v>623</v>
      </c>
      <c r="C181" s="9"/>
      <c r="D181" s="9"/>
      <c r="E181" s="48" t="str">
        <f>IF(COUNTIF(AB_Table[Абревиатура],A181)&gt;1,"DOUBLE","")</f>
        <v/>
      </c>
    </row>
    <row r="182" spans="1:5" x14ac:dyDescent="0.25">
      <c r="A182" s="11" t="s">
        <v>626</v>
      </c>
      <c r="B182" s="11" t="s">
        <v>627</v>
      </c>
      <c r="C182" s="9"/>
      <c r="D182" s="9"/>
      <c r="E182" s="48" t="str">
        <f>IF(COUNTIF(AB_Table[Абревиатура],A182)&gt;1,"DOUBLE","")</f>
        <v/>
      </c>
    </row>
    <row r="183" spans="1:5" x14ac:dyDescent="0.25">
      <c r="A183" s="11" t="s">
        <v>68</v>
      </c>
      <c r="B183" s="11" t="s">
        <v>69</v>
      </c>
      <c r="C183" s="9"/>
      <c r="D183" s="9"/>
      <c r="E183" s="48" t="str">
        <f>IF(COUNTIF(AB_Table[Абревиатура],A183)&gt;1,"DOUBLE","")</f>
        <v/>
      </c>
    </row>
    <row r="184" spans="1:5" x14ac:dyDescent="0.25">
      <c r="A184" s="11" t="s">
        <v>70</v>
      </c>
      <c r="B184" s="11" t="s">
        <v>71</v>
      </c>
      <c r="C184" s="7"/>
      <c r="D184" s="7" t="s">
        <v>300</v>
      </c>
      <c r="E184" s="48" t="str">
        <f>IF(COUNTIF(AB_Table[Абревиатура],A184)&gt;1,"DOUBLE","")</f>
        <v/>
      </c>
    </row>
    <row r="185" spans="1:5" x14ac:dyDescent="0.25">
      <c r="A185" s="22" t="s">
        <v>531</v>
      </c>
      <c r="B185" s="22" t="s">
        <v>540</v>
      </c>
      <c r="C185" s="21"/>
      <c r="D185" s="21"/>
      <c r="E185" s="48" t="str">
        <f>IF(COUNTIF(AB_Table[Абревиатура],A185)&gt;1,"DOUBLE","")</f>
        <v/>
      </c>
    </row>
    <row r="186" spans="1:5" x14ac:dyDescent="0.25">
      <c r="A186" s="11" t="s">
        <v>1148</v>
      </c>
      <c r="B186" s="11" t="s">
        <v>1150</v>
      </c>
      <c r="C186" s="9"/>
      <c r="D186" s="9"/>
      <c r="E186" s="50" t="str">
        <f>IF(COUNTIF(AB_Table[Абревиатура],A186)&gt;1,"DOUBLE","")</f>
        <v/>
      </c>
    </row>
    <row r="187" spans="1:5" ht="24" x14ac:dyDescent="0.25">
      <c r="A187" s="11" t="s">
        <v>236</v>
      </c>
      <c r="B187" s="11"/>
      <c r="C187" s="8"/>
      <c r="D187" s="8" t="s">
        <v>239</v>
      </c>
      <c r="E187" s="48" t="str">
        <f>IF(COUNTIF(AB_Table[Абревиатура],A187)&gt;1,"DOUBLE","")</f>
        <v/>
      </c>
    </row>
    <row r="188" spans="1:5" ht="36" x14ac:dyDescent="0.25">
      <c r="A188" s="11" t="s">
        <v>237</v>
      </c>
      <c r="B188" s="11"/>
      <c r="C188" s="8"/>
      <c r="D188" s="8" t="s">
        <v>238</v>
      </c>
      <c r="E188" s="48" t="str">
        <f>IF(COUNTIF(AB_Table[Абревиатура],A188)&gt;1,"DOUBLE","")</f>
        <v/>
      </c>
    </row>
    <row r="189" spans="1:5" x14ac:dyDescent="0.25">
      <c r="A189" s="11" t="s">
        <v>445</v>
      </c>
      <c r="B189" s="11" t="s">
        <v>828</v>
      </c>
      <c r="C189" s="9"/>
      <c r="D189" s="9" t="s">
        <v>573</v>
      </c>
      <c r="E189" s="48" t="str">
        <f>IF(COUNTIF(AB_Table[Абревиатура],A189)&gt;1,"DOUBLE","")</f>
        <v/>
      </c>
    </row>
    <row r="190" spans="1:5" x14ac:dyDescent="0.25">
      <c r="A190" s="16" t="s">
        <v>524</v>
      </c>
      <c r="B190" s="16" t="s">
        <v>236</v>
      </c>
      <c r="C190" s="15" t="s">
        <v>526</v>
      </c>
      <c r="D190" s="15" t="s">
        <v>525</v>
      </c>
      <c r="E190" s="48" t="str">
        <f>IF(COUNTIF(AB_Table[Абревиатура],A190)&gt;1,"DOUBLE","")</f>
        <v/>
      </c>
    </row>
    <row r="191" spans="1:5" x14ac:dyDescent="0.25">
      <c r="A191" s="22" t="s">
        <v>552</v>
      </c>
      <c r="B191" s="22" t="s">
        <v>553</v>
      </c>
      <c r="C191" s="21"/>
      <c r="D191" s="21" t="s">
        <v>554</v>
      </c>
      <c r="E191" s="48" t="str">
        <f>IF(COUNTIF(AB_Table[Абревиатура],A191)&gt;1,"DOUBLE","")</f>
        <v/>
      </c>
    </row>
    <row r="192" spans="1:5" x14ac:dyDescent="0.25">
      <c r="A192" s="11" t="s">
        <v>829</v>
      </c>
      <c r="B192" s="11" t="s">
        <v>553</v>
      </c>
      <c r="C192" s="6"/>
      <c r="D192" s="6"/>
      <c r="E192" s="49" t="str">
        <f>IF(COUNTIF(AB_Table[Абревиатура],A192)&gt;1,"DOUBLE","")</f>
        <v/>
      </c>
    </row>
    <row r="193" spans="1:5" ht="24" x14ac:dyDescent="0.25">
      <c r="A193" s="11" t="s">
        <v>232</v>
      </c>
      <c r="B193" s="11" t="s">
        <v>233</v>
      </c>
      <c r="C193" s="8"/>
      <c r="D193" s="8" t="s">
        <v>234</v>
      </c>
      <c r="E193" s="48" t="str">
        <f>IF(COUNTIF(AB_Table[Абревиатура],A193)&gt;1,"DOUBLE","")</f>
        <v/>
      </c>
    </row>
    <row r="194" spans="1:5" x14ac:dyDescent="0.25">
      <c r="A194" s="11" t="s">
        <v>830</v>
      </c>
      <c r="B194" s="11" t="s">
        <v>831</v>
      </c>
      <c r="C194" s="6"/>
      <c r="D194" s="6"/>
      <c r="E194" s="49" t="str">
        <f>IF(COUNTIF(AB_Table[Абревиатура],A194)&gt;1,"DOUBLE","")</f>
        <v/>
      </c>
    </row>
    <row r="195" spans="1:5" x14ac:dyDescent="0.25">
      <c r="A195" s="11" t="s">
        <v>459</v>
      </c>
      <c r="B195" s="11" t="s">
        <v>72</v>
      </c>
      <c r="C195" s="9"/>
      <c r="D195" s="9"/>
      <c r="E195" s="48" t="str">
        <f>IF(COUNTIF(AB_Table[Абревиатура],A195)&gt;1,"DOUBLE","")</f>
        <v/>
      </c>
    </row>
    <row r="196" spans="1:5" x14ac:dyDescent="0.25">
      <c r="A196" s="11" t="s">
        <v>73</v>
      </c>
      <c r="B196" s="11" t="s">
        <v>74</v>
      </c>
      <c r="C196" s="9"/>
      <c r="D196" s="9"/>
      <c r="E196" s="48" t="str">
        <f>IF(COUNTIF(AB_Table[Абревиатура],A196)&gt;1,"DOUBLE","")</f>
        <v/>
      </c>
    </row>
    <row r="197" spans="1:5" x14ac:dyDescent="0.25">
      <c r="A197" s="11" t="s">
        <v>520</v>
      </c>
      <c r="B197" s="11" t="s">
        <v>521</v>
      </c>
      <c r="C197" s="9"/>
      <c r="D197" s="9"/>
      <c r="E197" s="48" t="str">
        <f>IF(COUNTIF(AB_Table[Абревиатура],A197)&gt;1,"DOUBLE","")</f>
        <v/>
      </c>
    </row>
    <row r="198" spans="1:5" x14ac:dyDescent="0.25">
      <c r="A198" s="11" t="s">
        <v>832</v>
      </c>
      <c r="B198" s="11" t="s">
        <v>833</v>
      </c>
      <c r="C198" s="6"/>
      <c r="D198" s="6"/>
      <c r="E198" s="49" t="str">
        <f>IF(COUNTIF(AB_Table[Абревиатура],A198)&gt;1,"DOUBLE","")</f>
        <v/>
      </c>
    </row>
    <row r="199" spans="1:5" x14ac:dyDescent="0.25">
      <c r="A199" s="11" t="s">
        <v>75</v>
      </c>
      <c r="B199" s="11" t="s">
        <v>76</v>
      </c>
      <c r="C199" s="9"/>
      <c r="D199" s="9"/>
      <c r="E199" s="48" t="str">
        <f>IF(COUNTIF(AB_Table[Абревиатура],A199)&gt;1,"DOUBLE","")</f>
        <v/>
      </c>
    </row>
    <row r="200" spans="1:5" x14ac:dyDescent="0.25">
      <c r="A200" s="11" t="s">
        <v>77</v>
      </c>
      <c r="B200" s="11" t="s">
        <v>78</v>
      </c>
      <c r="C200" s="9"/>
      <c r="D200" s="9"/>
      <c r="E200" s="48" t="str">
        <f>IF(COUNTIF(AB_Table[Абревиатура],A200)&gt;1,"DOUBLE","")</f>
        <v/>
      </c>
    </row>
    <row r="201" spans="1:5" x14ac:dyDescent="0.25">
      <c r="A201" s="11" t="s">
        <v>570</v>
      </c>
      <c r="B201" s="11" t="s">
        <v>588</v>
      </c>
      <c r="C201" s="9"/>
      <c r="D201" s="9" t="s">
        <v>571</v>
      </c>
      <c r="E201" s="48" t="str">
        <f>IF(COUNTIF(AB_Table[Абревиатура],A201)&gt;1,"DOUBLE","")</f>
        <v/>
      </c>
    </row>
    <row r="202" spans="1:5" ht="24" x14ac:dyDescent="0.25">
      <c r="A202" s="27" t="s">
        <v>446</v>
      </c>
      <c r="B202" s="27" t="s">
        <v>662</v>
      </c>
      <c r="C202" s="40"/>
      <c r="D202" s="40" t="s">
        <v>645</v>
      </c>
      <c r="E202" s="48" t="str">
        <f>IF(COUNTIF(AB_Table[Абревиатура],A202)&gt;1,"DOUBLE","")</f>
        <v/>
      </c>
    </row>
    <row r="203" spans="1:5" x14ac:dyDescent="0.25">
      <c r="A203" s="11" t="s">
        <v>834</v>
      </c>
      <c r="B203" s="11" t="s">
        <v>662</v>
      </c>
      <c r="C203" s="6"/>
      <c r="D203" s="6"/>
      <c r="E203" s="49" t="str">
        <f>IF(COUNTIF(AB_Table[Абревиатура],A203)&gt;1,"DOUBLE","")</f>
        <v/>
      </c>
    </row>
    <row r="204" spans="1:5" x14ac:dyDescent="0.25">
      <c r="A204" s="11" t="s">
        <v>579</v>
      </c>
      <c r="B204" s="11" t="s">
        <v>580</v>
      </c>
      <c r="C204" s="9"/>
      <c r="D204" s="9"/>
      <c r="E204" s="48" t="str">
        <f>IF(COUNTIF(AB_Table[Абревиатура],A204)&gt;1,"DOUBLE","")</f>
        <v/>
      </c>
    </row>
    <row r="205" spans="1:5" x14ac:dyDescent="0.25">
      <c r="A205" s="11" t="s">
        <v>447</v>
      </c>
      <c r="B205" s="11" t="s">
        <v>482</v>
      </c>
      <c r="C205" s="9"/>
      <c r="D205" s="9" t="s">
        <v>483</v>
      </c>
      <c r="E205" s="48" t="str">
        <f>IF(COUNTIF(AB_Table[Абревиатура],A205)&gt;1,"DOUBLE","")</f>
        <v/>
      </c>
    </row>
    <row r="206" spans="1:5" x14ac:dyDescent="0.25">
      <c r="A206" s="11" t="s">
        <v>835</v>
      </c>
      <c r="B206" s="11" t="s">
        <v>836</v>
      </c>
      <c r="C206" s="6"/>
      <c r="D206" s="6"/>
      <c r="E206" s="49" t="str">
        <f>IF(COUNTIF(AB_Table[Абревиатура],A206)&gt;1,"DOUBLE","")</f>
        <v/>
      </c>
    </row>
    <row r="207" spans="1:5" x14ac:dyDescent="0.25">
      <c r="A207" s="11" t="s">
        <v>837</v>
      </c>
      <c r="B207" s="11" t="s">
        <v>838</v>
      </c>
      <c r="C207" s="6"/>
      <c r="D207" s="6"/>
      <c r="E207" s="49" t="str">
        <f>IF(COUNTIF(AB_Table[Абревиатура],A207)&gt;1,"DOUBLE","")</f>
        <v/>
      </c>
    </row>
    <row r="208" spans="1:5" x14ac:dyDescent="0.25">
      <c r="A208" s="11" t="s">
        <v>360</v>
      </c>
      <c r="B208" s="11" t="s">
        <v>600</v>
      </c>
      <c r="C208" s="9"/>
      <c r="D208" s="9"/>
      <c r="E208" s="48" t="str">
        <f>IF(COUNTIF(AB_Table[Абревиатура],A208)&gt;1,"DOUBLE","")</f>
        <v/>
      </c>
    </row>
    <row r="209" spans="1:5" x14ac:dyDescent="0.25">
      <c r="A209" s="11" t="s">
        <v>839</v>
      </c>
      <c r="B209" s="11" t="s">
        <v>840</v>
      </c>
      <c r="C209" s="6"/>
      <c r="D209" s="6"/>
      <c r="E209" s="49" t="str">
        <f>IF(COUNTIF(AB_Table[Абревиатура],A209)&gt;1,"DOUBLE","")</f>
        <v/>
      </c>
    </row>
    <row r="210" spans="1:5" x14ac:dyDescent="0.25">
      <c r="A210" s="11" t="s">
        <v>308</v>
      </c>
      <c r="B210" s="11" t="s">
        <v>601</v>
      </c>
      <c r="C210" s="8"/>
      <c r="D210" s="8" t="s">
        <v>309</v>
      </c>
      <c r="E210" s="48" t="str">
        <f>IF(COUNTIF(AB_Table[Абревиатура],A210)&gt;1,"DOUBLE","")</f>
        <v/>
      </c>
    </row>
    <row r="211" spans="1:5" x14ac:dyDescent="0.25">
      <c r="A211" s="11" t="s">
        <v>388</v>
      </c>
      <c r="B211" s="11" t="s">
        <v>389</v>
      </c>
      <c r="C211" s="9"/>
      <c r="D211" s="9"/>
      <c r="E211" s="48" t="str">
        <f>IF(COUNTIF(AB_Table[Абревиатура],A211)&gt;1,"DOUBLE","")</f>
        <v/>
      </c>
    </row>
    <row r="212" spans="1:5" ht="24" x14ac:dyDescent="0.25">
      <c r="A212" s="11" t="s">
        <v>79</v>
      </c>
      <c r="B212" s="11" t="s">
        <v>80</v>
      </c>
      <c r="C212" s="7"/>
      <c r="D212" s="7" t="s">
        <v>262</v>
      </c>
      <c r="E212" s="48" t="str">
        <f>IF(COUNTIF(AB_Table[Абревиатура],A212)&gt;1,"DOUBLE","")</f>
        <v/>
      </c>
    </row>
    <row r="213" spans="1:5" x14ac:dyDescent="0.25">
      <c r="A213" s="11" t="s">
        <v>432</v>
      </c>
      <c r="B213" s="11" t="s">
        <v>599</v>
      </c>
      <c r="C213" s="9"/>
      <c r="D213" s="9" t="s">
        <v>587</v>
      </c>
      <c r="E213" s="48" t="str">
        <f>IF(COUNTIF(AB_Table[Абревиатура],A213)&gt;1,"DOUBLE","")</f>
        <v/>
      </c>
    </row>
    <row r="214" spans="1:5" x14ac:dyDescent="0.25">
      <c r="A214" s="11" t="s">
        <v>841</v>
      </c>
      <c r="B214" s="11" t="s">
        <v>842</v>
      </c>
      <c r="C214" s="6"/>
      <c r="D214" s="6"/>
      <c r="E214" s="49" t="str">
        <f>IF(COUNTIF(AB_Table[Абревиатура],A214)&gt;1,"DOUBLE","")</f>
        <v/>
      </c>
    </row>
    <row r="215" spans="1:5" x14ac:dyDescent="0.25">
      <c r="A215" s="11" t="s">
        <v>505</v>
      </c>
      <c r="B215" s="11" t="s">
        <v>558</v>
      </c>
      <c r="C215" s="9"/>
      <c r="D215" s="9" t="s">
        <v>557</v>
      </c>
      <c r="E215" s="48" t="str">
        <f>IF(COUNTIF(AB_Table[Абревиатура],A215)&gt;1,"DOUBLE","")</f>
        <v/>
      </c>
    </row>
    <row r="216" spans="1:5" x14ac:dyDescent="0.25">
      <c r="A216" s="11" t="s">
        <v>81</v>
      </c>
      <c r="B216" s="11" t="s">
        <v>82</v>
      </c>
      <c r="C216" s="9"/>
      <c r="D216" s="9"/>
      <c r="E216" s="48" t="str">
        <f>IF(COUNTIF(AB_Table[Абревиатура],A216)&gt;1,"DOUBLE","")</f>
        <v/>
      </c>
    </row>
    <row r="217" spans="1:5" x14ac:dyDescent="0.25">
      <c r="A217" s="11" t="s">
        <v>843</v>
      </c>
      <c r="B217" s="11" t="s">
        <v>844</v>
      </c>
      <c r="C217" s="6"/>
      <c r="D217" s="6"/>
      <c r="E217" s="49" t="str">
        <f>IF(COUNTIF(AB_Table[Абревиатура],A217)&gt;1,"DOUBLE","")</f>
        <v/>
      </c>
    </row>
    <row r="218" spans="1:5" x14ac:dyDescent="0.25">
      <c r="A218" s="11" t="s">
        <v>83</v>
      </c>
      <c r="B218" s="11" t="s">
        <v>84</v>
      </c>
      <c r="C218" s="9"/>
      <c r="D218" s="9"/>
      <c r="E218" s="48" t="str">
        <f>IF(COUNTIF(AB_Table[Абревиатура],A218)&gt;1,"DOUBLE","")</f>
        <v/>
      </c>
    </row>
    <row r="219" spans="1:5" x14ac:dyDescent="0.25">
      <c r="A219" s="11" t="s">
        <v>85</v>
      </c>
      <c r="B219" s="11" t="s">
        <v>86</v>
      </c>
      <c r="C219" s="9"/>
      <c r="D219" s="9"/>
      <c r="E219" s="48" t="str">
        <f>IF(COUNTIF(AB_Table[Абревиатура],A219)&gt;1,"DOUBLE","")</f>
        <v/>
      </c>
    </row>
    <row r="220" spans="1:5" x14ac:dyDescent="0.25">
      <c r="A220" s="11" t="s">
        <v>418</v>
      </c>
      <c r="B220" s="11" t="s">
        <v>419</v>
      </c>
      <c r="C220" s="9"/>
      <c r="D220" s="9"/>
      <c r="E220" s="48" t="str">
        <f>IF(COUNTIF(AB_Table[Абревиатура],A220)&gt;1,"DOUBLE","")</f>
        <v/>
      </c>
    </row>
    <row r="221" spans="1:5" x14ac:dyDescent="0.25">
      <c r="A221" s="11" t="s">
        <v>845</v>
      </c>
      <c r="B221" s="11" t="s">
        <v>846</v>
      </c>
      <c r="C221" s="6"/>
      <c r="D221" s="6"/>
      <c r="E221" s="49" t="str">
        <f>IF(COUNTIF(AB_Table[Абревиатура],A221)&gt;1,"DOUBLE","")</f>
        <v/>
      </c>
    </row>
    <row r="222" spans="1:5" x14ac:dyDescent="0.25">
      <c r="A222" s="10" t="s">
        <v>730</v>
      </c>
      <c r="B222" s="17" t="s">
        <v>759</v>
      </c>
      <c r="C222" s="6"/>
      <c r="D222" s="6"/>
      <c r="E222" s="49" t="str">
        <f>IF(COUNTIF(AB_Table[Абревиатура],A222)&gt;1,"DOUBLE","")</f>
        <v/>
      </c>
    </row>
    <row r="223" spans="1:5" x14ac:dyDescent="0.25">
      <c r="A223" s="10" t="s">
        <v>334</v>
      </c>
      <c r="B223" s="17" t="s">
        <v>354</v>
      </c>
      <c r="C223" s="9"/>
      <c r="D223" s="9"/>
      <c r="E223" s="48" t="str">
        <f>IF(COUNTIF(AB_Table[Абревиатура],A223)&gt;1,"DOUBLE","")</f>
        <v/>
      </c>
    </row>
    <row r="224" spans="1:5" x14ac:dyDescent="0.25">
      <c r="A224" s="10" t="s">
        <v>87</v>
      </c>
      <c r="B224" s="17" t="s">
        <v>88</v>
      </c>
      <c r="C224" s="9"/>
      <c r="D224" s="9"/>
      <c r="E224" s="48" t="str">
        <f>IF(COUNTIF(AB_Table[Абревиатура],A224)&gt;1,"DOUBLE","")</f>
        <v/>
      </c>
    </row>
    <row r="225" spans="1:5" x14ac:dyDescent="0.25">
      <c r="A225" s="10" t="s">
        <v>89</v>
      </c>
      <c r="B225" s="17" t="s">
        <v>90</v>
      </c>
      <c r="C225" s="9"/>
      <c r="D225" s="9"/>
      <c r="E225" s="48" t="str">
        <f>IF(COUNTIF(AB_Table[Абревиатура],A225)&gt;1,"DOUBLE","")</f>
        <v/>
      </c>
    </row>
    <row r="226" spans="1:5" x14ac:dyDescent="0.25">
      <c r="A226" s="10" t="s">
        <v>330</v>
      </c>
      <c r="B226" s="5" t="s">
        <v>351</v>
      </c>
      <c r="C226" s="9"/>
      <c r="D226" s="9"/>
      <c r="E226" s="48" t="str">
        <f>IF(COUNTIF(AB_Table[Абревиатура],A226)&gt;1,"DOUBLE","")</f>
        <v/>
      </c>
    </row>
    <row r="227" spans="1:5" x14ac:dyDescent="0.25">
      <c r="A227" s="10" t="s">
        <v>91</v>
      </c>
      <c r="B227" s="17" t="s">
        <v>92</v>
      </c>
      <c r="C227" s="3"/>
      <c r="D227" s="3"/>
      <c r="E227" s="48" t="str">
        <f>IF(COUNTIF(AB_Table[Абревиатура],A227)&gt;1,"DOUBLE","")</f>
        <v/>
      </c>
    </row>
    <row r="228" spans="1:5" x14ac:dyDescent="0.25">
      <c r="A228" s="11" t="s">
        <v>547</v>
      </c>
      <c r="B228" s="17" t="s">
        <v>583</v>
      </c>
      <c r="C228" s="9"/>
      <c r="D228" s="9"/>
      <c r="E228" s="48" t="str">
        <f>IF(COUNTIF(AB_Table[Абревиатура],A228)&gt;1,"DOUBLE","")</f>
        <v/>
      </c>
    </row>
    <row r="229" spans="1:5" x14ac:dyDescent="0.25">
      <c r="A229" s="11" t="s">
        <v>420</v>
      </c>
      <c r="B229" s="5" t="s">
        <v>421</v>
      </c>
      <c r="C229" s="9"/>
      <c r="D229" s="9"/>
      <c r="E229" s="48" t="str">
        <f>IF(COUNTIF(AB_Table[Абревиатура],A229)&gt;1,"DOUBLE","")</f>
        <v/>
      </c>
    </row>
    <row r="230" spans="1:5" x14ac:dyDescent="0.25">
      <c r="A230" s="11" t="s">
        <v>630</v>
      </c>
      <c r="B230" s="5" t="s">
        <v>633</v>
      </c>
      <c r="C230" s="9"/>
      <c r="D230" s="9"/>
      <c r="E230" s="48" t="str">
        <f>IF(COUNTIF(AB_Table[Абревиатура],A230)&gt;1,"DOUBLE","")</f>
        <v/>
      </c>
    </row>
    <row r="231" spans="1:5" x14ac:dyDescent="0.25">
      <c r="A231" s="10" t="s">
        <v>93</v>
      </c>
      <c r="B231" s="17" t="s">
        <v>94</v>
      </c>
      <c r="C231" s="9"/>
      <c r="D231" s="9"/>
      <c r="E231" s="48" t="str">
        <f>IF(COUNTIF(AB_Table[Абревиатура],A231)&gt;1,"DOUBLE","")</f>
        <v/>
      </c>
    </row>
    <row r="232" spans="1:5" x14ac:dyDescent="0.25">
      <c r="A232" s="10" t="s">
        <v>178</v>
      </c>
      <c r="B232" s="17" t="s">
        <v>602</v>
      </c>
      <c r="C232" s="9"/>
      <c r="D232" s="9"/>
      <c r="E232" s="48" t="str">
        <f>IF(COUNTIF(AB_Table[Абревиатура],A232)&gt;1,"DOUBLE","")</f>
        <v/>
      </c>
    </row>
    <row r="233" spans="1:5" x14ac:dyDescent="0.25">
      <c r="A233" s="10" t="s">
        <v>95</v>
      </c>
      <c r="B233" s="17" t="s">
        <v>96</v>
      </c>
      <c r="C233" s="9"/>
      <c r="D233" s="9"/>
      <c r="E233" s="48" t="str">
        <f>IF(COUNTIF(AB_Table[Абревиатура],A233)&gt;1,"DOUBLE","")</f>
        <v/>
      </c>
    </row>
    <row r="234" spans="1:5" x14ac:dyDescent="0.25">
      <c r="A234" s="10" t="s">
        <v>746</v>
      </c>
      <c r="B234" s="17" t="s">
        <v>747</v>
      </c>
      <c r="C234" s="6"/>
      <c r="D234" s="6"/>
      <c r="E234" s="49" t="str">
        <f>IF(COUNTIF(AB_Table[Абревиатура],A234)&gt;1,"DOUBLE","")</f>
        <v/>
      </c>
    </row>
    <row r="235" spans="1:5" x14ac:dyDescent="0.25">
      <c r="A235" s="10" t="s">
        <v>97</v>
      </c>
      <c r="B235" s="17" t="s">
        <v>98</v>
      </c>
      <c r="C235" s="9"/>
      <c r="D235" s="9"/>
      <c r="E235" s="48" t="str">
        <f>IF(COUNTIF(AB_Table[Абревиатура],A235)&gt;1,"DOUBLE","")</f>
        <v/>
      </c>
    </row>
    <row r="236" spans="1:5" x14ac:dyDescent="0.25">
      <c r="A236" s="10" t="s">
        <v>99</v>
      </c>
      <c r="B236" s="11" t="s">
        <v>100</v>
      </c>
      <c r="C236" s="9"/>
      <c r="D236" s="9"/>
      <c r="E236" s="48" t="str">
        <f>IF(COUNTIF(AB_Table[Абревиатура],A236)&gt;1,"DOUBLE","")</f>
        <v/>
      </c>
    </row>
    <row r="237" spans="1:5" x14ac:dyDescent="0.25">
      <c r="A237" s="10" t="s">
        <v>101</v>
      </c>
      <c r="B237" s="17" t="s">
        <v>102</v>
      </c>
      <c r="C237" s="9"/>
      <c r="D237" s="9"/>
      <c r="E237" s="48" t="str">
        <f>IF(COUNTIF(AB_Table[Абревиатура],A237)&gt;1,"DOUBLE","")</f>
        <v/>
      </c>
    </row>
    <row r="238" spans="1:5" x14ac:dyDescent="0.25">
      <c r="A238" s="10" t="s">
        <v>1131</v>
      </c>
      <c r="B238" s="17" t="s">
        <v>1136</v>
      </c>
      <c r="C238" s="9"/>
      <c r="D238" s="9"/>
      <c r="E238" s="50" t="str">
        <f>IF(COUNTIF(AB_Table[Абревиатура],A238)&gt;1,"DOUBLE","")</f>
        <v/>
      </c>
    </row>
    <row r="239" spans="1:5" x14ac:dyDescent="0.25">
      <c r="A239" s="10" t="s">
        <v>427</v>
      </c>
      <c r="B239" s="17" t="s">
        <v>428</v>
      </c>
      <c r="C239" s="9"/>
      <c r="D239" s="9"/>
      <c r="E239" s="48" t="str">
        <f>IF(COUNTIF(AB_Table[Абревиатура],A239)&gt;1,"DOUBLE","")</f>
        <v/>
      </c>
    </row>
    <row r="240" spans="1:5" x14ac:dyDescent="0.25">
      <c r="A240" s="10" t="s">
        <v>103</v>
      </c>
      <c r="B240" s="17" t="s">
        <v>104</v>
      </c>
      <c r="C240" s="9"/>
      <c r="D240" s="9"/>
      <c r="E240" s="48" t="str">
        <f>IF(COUNTIF(AB_Table[Абревиатура],A240)&gt;1,"DOUBLE","")</f>
        <v/>
      </c>
    </row>
    <row r="241" spans="1:5" x14ac:dyDescent="0.25">
      <c r="A241" s="10" t="s">
        <v>105</v>
      </c>
      <c r="B241" s="17" t="s">
        <v>106</v>
      </c>
      <c r="C241" s="9"/>
      <c r="D241" s="9"/>
      <c r="E241" s="48" t="str">
        <f>IF(COUNTIF(AB_Table[Абревиатура],A241)&gt;1,"DOUBLE","")</f>
        <v/>
      </c>
    </row>
    <row r="242" spans="1:5" x14ac:dyDescent="0.25">
      <c r="A242" s="10" t="s">
        <v>847</v>
      </c>
      <c r="B242" s="17" t="s">
        <v>848</v>
      </c>
      <c r="C242" s="6"/>
      <c r="D242" s="6"/>
      <c r="E242" s="49" t="str">
        <f>IF(COUNTIF(AB_Table[Абревиатура],A242)&gt;1,"DOUBLE","")</f>
        <v/>
      </c>
    </row>
    <row r="243" spans="1:5" x14ac:dyDescent="0.25">
      <c r="A243" s="10" t="s">
        <v>107</v>
      </c>
      <c r="B243" s="17" t="s">
        <v>108</v>
      </c>
      <c r="C243" s="9"/>
      <c r="D243" s="9" t="s">
        <v>566</v>
      </c>
      <c r="E243" s="48" t="str">
        <f>IF(COUNTIF(AB_Table[Абревиатура],A243)&gt;1,"DOUBLE","")</f>
        <v/>
      </c>
    </row>
    <row r="244" spans="1:5" x14ac:dyDescent="0.25">
      <c r="A244" s="10" t="s">
        <v>517</v>
      </c>
      <c r="B244" s="17" t="s">
        <v>603</v>
      </c>
      <c r="C244" s="9"/>
      <c r="D244" s="9"/>
      <c r="E244" s="48" t="str">
        <f>IF(COUNTIF(AB_Table[Абревиатура],A244)&gt;1,"DOUBLE","")</f>
        <v/>
      </c>
    </row>
    <row r="245" spans="1:5" x14ac:dyDescent="0.25">
      <c r="A245" s="10" t="s">
        <v>849</v>
      </c>
      <c r="B245" s="17" t="s">
        <v>850</v>
      </c>
      <c r="C245" s="6"/>
      <c r="D245" s="6"/>
      <c r="E245" s="49" t="str">
        <f>IF(COUNTIF(AB_Table[Абревиатура],A245)&gt;1,"DOUBLE","")</f>
        <v/>
      </c>
    </row>
    <row r="246" spans="1:5" x14ac:dyDescent="0.25">
      <c r="A246" s="10" t="s">
        <v>294</v>
      </c>
      <c r="B246" s="17"/>
      <c r="C246" s="8"/>
      <c r="D246" s="8" t="s">
        <v>292</v>
      </c>
      <c r="E246" s="48" t="str">
        <f>IF(COUNTIF(AB_Table[Абревиатура],A246)&gt;1,"DOUBLE","")</f>
        <v/>
      </c>
    </row>
    <row r="247" spans="1:5" x14ac:dyDescent="0.25">
      <c r="A247" s="10" t="s">
        <v>109</v>
      </c>
      <c r="B247" s="17" t="s">
        <v>110</v>
      </c>
      <c r="C247" s="9"/>
      <c r="D247" s="9"/>
      <c r="E247" s="48" t="str">
        <f>IF(COUNTIF(AB_Table[Абревиатура],A247)&gt;1,"DOUBLE","")</f>
        <v/>
      </c>
    </row>
    <row r="248" spans="1:5" x14ac:dyDescent="0.25">
      <c r="A248" s="10" t="s">
        <v>332</v>
      </c>
      <c r="B248" s="17" t="s">
        <v>1139</v>
      </c>
      <c r="C248" s="9"/>
      <c r="D248" s="9"/>
      <c r="E248" s="48" t="str">
        <f>IF(COUNTIF(AB_Table[Абревиатура],A248)&gt;1,"DOUBLE","")</f>
        <v/>
      </c>
    </row>
    <row r="249" spans="1:5" x14ac:dyDescent="0.25">
      <c r="A249" s="10" t="s">
        <v>448</v>
      </c>
      <c r="B249" s="17" t="s">
        <v>851</v>
      </c>
      <c r="C249" s="9"/>
      <c r="D249" s="9" t="s">
        <v>491</v>
      </c>
      <c r="E249" s="48" t="str">
        <f>IF(COUNTIF(AB_Table[Абревиатура],A249)&gt;1,"DOUBLE","")</f>
        <v/>
      </c>
    </row>
    <row r="250" spans="1:5" x14ac:dyDescent="0.25">
      <c r="A250" s="29" t="s">
        <v>529</v>
      </c>
      <c r="B250" s="17" t="s">
        <v>604</v>
      </c>
      <c r="C250" s="21"/>
      <c r="D250" s="21" t="s">
        <v>530</v>
      </c>
      <c r="E250" s="48" t="str">
        <f>IF(COUNTIF(AB_Table[Абревиатура],A250)&gt;1,"DOUBLE","")</f>
        <v/>
      </c>
    </row>
    <row r="251" spans="1:5" x14ac:dyDescent="0.25">
      <c r="A251" s="10" t="s">
        <v>852</v>
      </c>
      <c r="B251" s="17" t="s">
        <v>853</v>
      </c>
      <c r="C251" s="6"/>
      <c r="D251" s="6"/>
      <c r="E251" s="49" t="str">
        <f>IF(COUNTIF(AB_Table[Абревиатура],A251)&gt;1,"DOUBLE","")</f>
        <v/>
      </c>
    </row>
    <row r="252" spans="1:5" x14ac:dyDescent="0.25">
      <c r="A252" s="10" t="s">
        <v>111</v>
      </c>
      <c r="B252" s="17" t="s">
        <v>112</v>
      </c>
      <c r="C252" s="9"/>
      <c r="D252" s="9"/>
      <c r="E252" s="48" t="str">
        <f>IF(COUNTIF(AB_Table[Абревиатура],A252)&gt;1,"DOUBLE","")</f>
        <v/>
      </c>
    </row>
    <row r="253" spans="1:5" x14ac:dyDescent="0.25">
      <c r="A253" s="10" t="s">
        <v>854</v>
      </c>
      <c r="B253" s="17" t="s">
        <v>855</v>
      </c>
      <c r="C253" s="6"/>
      <c r="D253" s="6"/>
      <c r="E253" s="49" t="str">
        <f>IF(COUNTIF(AB_Table[Абревиатура],A253)&gt;1,"DOUBLE","")</f>
        <v/>
      </c>
    </row>
    <row r="254" spans="1:5" x14ac:dyDescent="0.25">
      <c r="A254" s="10" t="s">
        <v>636</v>
      </c>
      <c r="B254" s="17" t="s">
        <v>637</v>
      </c>
      <c r="C254" s="9"/>
      <c r="D254" s="9"/>
      <c r="E254" s="48" t="str">
        <f>IF(COUNTIF(AB_Table[Абревиатура],A254)&gt;1,"DOUBLE","")</f>
        <v/>
      </c>
    </row>
    <row r="255" spans="1:5" x14ac:dyDescent="0.25">
      <c r="A255" s="10" t="s">
        <v>434</v>
      </c>
      <c r="B255" s="17" t="s">
        <v>605</v>
      </c>
      <c r="C255" s="9"/>
      <c r="D255" s="9"/>
      <c r="E255" s="48" t="str">
        <f>IF(COUNTIF(AB_Table[Абревиатура],A255)&gt;1,"DOUBLE","")</f>
        <v/>
      </c>
    </row>
    <row r="256" spans="1:5" ht="15.75" thickBot="1" x14ac:dyDescent="0.3">
      <c r="A256" s="10" t="s">
        <v>856</v>
      </c>
      <c r="B256" s="56" t="s">
        <v>857</v>
      </c>
      <c r="C256" s="6"/>
      <c r="D256" s="6"/>
      <c r="E256" s="49" t="str">
        <f>IF(COUNTIF(AB_Table[Абревиатура],A256)&gt;1,"DOUBLE","")</f>
        <v/>
      </c>
    </row>
    <row r="257" spans="1:5" x14ac:dyDescent="0.25">
      <c r="A257" s="10" t="s">
        <v>581</v>
      </c>
      <c r="B257" s="17" t="s">
        <v>606</v>
      </c>
      <c r="C257" s="9"/>
      <c r="D257" s="9" t="s">
        <v>582</v>
      </c>
      <c r="E257" s="48" t="str">
        <f>IF(COUNTIF(AB_Table[Абревиатура],A257)&gt;1,"DOUBLE","")</f>
        <v/>
      </c>
    </row>
    <row r="258" spans="1:5" x14ac:dyDescent="0.25">
      <c r="A258" s="10" t="s">
        <v>254</v>
      </c>
      <c r="B258" s="17"/>
      <c r="C258" s="8"/>
      <c r="D258" s="8" t="s">
        <v>255</v>
      </c>
      <c r="E258" s="48" t="str">
        <f>IF(COUNTIF(AB_Table[Абревиатура],A258)&gt;1,"DOUBLE","")</f>
        <v/>
      </c>
    </row>
    <row r="259" spans="1:5" x14ac:dyDescent="0.25">
      <c r="A259" s="10" t="s">
        <v>113</v>
      </c>
      <c r="B259" s="17" t="s">
        <v>114</v>
      </c>
      <c r="C259" s="9"/>
      <c r="D259" s="9"/>
      <c r="E259" s="48" t="str">
        <f>IF(COUNTIF(AB_Table[Абревиатура],A259)&gt;1,"DOUBLE","")</f>
        <v/>
      </c>
    </row>
    <row r="260" spans="1:5" x14ac:dyDescent="0.25">
      <c r="A260" s="10" t="s">
        <v>449</v>
      </c>
      <c r="B260" s="17" t="s">
        <v>674</v>
      </c>
      <c r="C260" s="9"/>
      <c r="D260" s="9" t="s">
        <v>673</v>
      </c>
      <c r="E260" s="48" t="str">
        <f>IF(COUNTIF(AB_Table[Абревиатура],A260)&gt;1,"DOUBLE","")</f>
        <v/>
      </c>
    </row>
    <row r="261" spans="1:5" x14ac:dyDescent="0.25">
      <c r="A261" s="10" t="s">
        <v>672</v>
      </c>
      <c r="B261" s="17" t="s">
        <v>674</v>
      </c>
      <c r="C261" s="9"/>
      <c r="D261" s="9" t="s">
        <v>673</v>
      </c>
      <c r="E261" s="48" t="str">
        <f>IF(COUNTIF(AB_Table[Абревиатура],A261)&gt;1,"DOUBLE","")</f>
        <v/>
      </c>
    </row>
    <row r="262" spans="1:5" x14ac:dyDescent="0.25">
      <c r="A262" s="10" t="s">
        <v>671</v>
      </c>
      <c r="B262" s="17" t="s">
        <v>674</v>
      </c>
      <c r="C262" s="9"/>
      <c r="D262" s="9" t="s">
        <v>673</v>
      </c>
      <c r="E262" s="48" t="str">
        <f>IF(COUNTIF(AB_Table[Абревиатура],A262)&gt;1,"DOUBLE","")</f>
        <v/>
      </c>
    </row>
    <row r="263" spans="1:5" x14ac:dyDescent="0.25">
      <c r="A263" s="10" t="s">
        <v>670</v>
      </c>
      <c r="B263" s="17" t="s">
        <v>674</v>
      </c>
      <c r="C263" s="9"/>
      <c r="D263" s="9" t="s">
        <v>673</v>
      </c>
      <c r="E263" s="48" t="str">
        <f>IF(COUNTIF(AB_Table[Абревиатура],A263)&gt;1,"DOUBLE","")</f>
        <v/>
      </c>
    </row>
    <row r="264" spans="1:5" x14ac:dyDescent="0.25">
      <c r="A264" s="10" t="s">
        <v>317</v>
      </c>
      <c r="B264" s="17"/>
      <c r="C264" s="8"/>
      <c r="D264" s="8"/>
      <c r="E264" s="48" t="str">
        <f>IF(COUNTIF(AB_Table[Абревиатура],A264)&gt;1,"DOUBLE","")</f>
        <v/>
      </c>
    </row>
    <row r="265" spans="1:5" ht="24" x14ac:dyDescent="0.25">
      <c r="A265" s="10" t="s">
        <v>858</v>
      </c>
      <c r="B265" s="17" t="s">
        <v>859</v>
      </c>
      <c r="C265" s="6"/>
      <c r="D265" s="6"/>
      <c r="E265" s="49" t="str">
        <f>IF(COUNTIF(AB_Table[Абревиатура],A265)&gt;1,"DOUBLE","")</f>
        <v/>
      </c>
    </row>
    <row r="266" spans="1:5" x14ac:dyDescent="0.25">
      <c r="A266" s="10" t="s">
        <v>322</v>
      </c>
      <c r="B266" s="17"/>
      <c r="C266" s="8"/>
      <c r="D266" s="8"/>
      <c r="E266" s="48" t="str">
        <f>IF(COUNTIF(AB_Table[Абревиатура],A266)&gt;1,"DOUBLE","")</f>
        <v/>
      </c>
    </row>
    <row r="267" spans="1:5" x14ac:dyDescent="0.25">
      <c r="A267" s="10" t="s">
        <v>860</v>
      </c>
      <c r="B267" s="17" t="s">
        <v>861</v>
      </c>
      <c r="C267" s="6"/>
      <c r="D267" s="6"/>
      <c r="E267" s="49" t="str">
        <f>IF(COUNTIF(AB_Table[Абревиатура],A267)&gt;1,"DOUBLE","")</f>
        <v/>
      </c>
    </row>
    <row r="268" spans="1:5" x14ac:dyDescent="0.25">
      <c r="A268" s="10" t="s">
        <v>682</v>
      </c>
      <c r="B268" s="17" t="s">
        <v>686</v>
      </c>
      <c r="C268" s="9"/>
      <c r="D268" s="9"/>
      <c r="E268" s="48" t="str">
        <f>IF(COUNTIF(AB_Table[Абревиатура],A268)&gt;1,"DOUBLE","")</f>
        <v/>
      </c>
    </row>
    <row r="269" spans="1:5" x14ac:dyDescent="0.25">
      <c r="A269" s="10" t="s">
        <v>862</v>
      </c>
      <c r="B269" s="17" t="s">
        <v>863</v>
      </c>
      <c r="C269" s="6"/>
      <c r="D269" s="6"/>
      <c r="E269" s="49" t="str">
        <f>IF(COUNTIF(AB_Table[Абревиатура],A269)&gt;1,"DOUBLE","")</f>
        <v/>
      </c>
    </row>
    <row r="270" spans="1:5" x14ac:dyDescent="0.25">
      <c r="A270" s="10" t="s">
        <v>115</v>
      </c>
      <c r="B270" s="53" t="s">
        <v>712</v>
      </c>
      <c r="C270" s="9"/>
      <c r="D270" s="9"/>
      <c r="E270" s="48" t="str">
        <f>IF(COUNTIF(AB_Table[Абревиатура],A270)&gt;1,"DOUBLE","")</f>
        <v/>
      </c>
    </row>
    <row r="271" spans="1:5" x14ac:dyDescent="0.25">
      <c r="A271" s="10" t="s">
        <v>116</v>
      </c>
      <c r="B271" s="28" t="s">
        <v>713</v>
      </c>
      <c r="C271" s="9"/>
      <c r="D271" s="9"/>
      <c r="E271" s="48" t="str">
        <f>IF(COUNTIF(AB_Table[Абревиатура],A271)&gt;1,"DOUBLE","")</f>
        <v/>
      </c>
    </row>
    <row r="272" spans="1:5" ht="24" x14ac:dyDescent="0.25">
      <c r="A272" s="10" t="s">
        <v>295</v>
      </c>
      <c r="B272" s="5" t="s">
        <v>485</v>
      </c>
      <c r="C272" s="8"/>
      <c r="D272" s="8" t="s">
        <v>296</v>
      </c>
      <c r="E272" s="48" t="str">
        <f>IF(COUNTIF(AB_Table[Абревиатура],A272)&gt;1,"DOUBLE","")</f>
        <v/>
      </c>
    </row>
    <row r="273" spans="1:5" x14ac:dyDescent="0.25">
      <c r="A273" s="10" t="s">
        <v>117</v>
      </c>
      <c r="B273" s="17" t="s">
        <v>118</v>
      </c>
      <c r="C273" s="9"/>
      <c r="D273" s="9"/>
      <c r="E273" s="48" t="str">
        <f>IF(COUNTIF(AB_Table[Абревиатура],A273)&gt;1,"DOUBLE","")</f>
        <v/>
      </c>
    </row>
    <row r="274" spans="1:5" x14ac:dyDescent="0.25">
      <c r="A274" s="10" t="s">
        <v>864</v>
      </c>
      <c r="B274" s="17" t="s">
        <v>865</v>
      </c>
      <c r="C274" s="6"/>
      <c r="D274" s="6"/>
      <c r="E274" s="49" t="str">
        <f>IF(COUNTIF(AB_Table[Абревиатура],A274)&gt;1,"DOUBLE","")</f>
        <v/>
      </c>
    </row>
    <row r="275" spans="1:5" x14ac:dyDescent="0.25">
      <c r="A275" s="31" t="s">
        <v>740</v>
      </c>
      <c r="B275" s="32" t="s">
        <v>741</v>
      </c>
      <c r="C275" s="25"/>
      <c r="D275" s="25"/>
      <c r="E275" s="50" t="str">
        <f>IF(COUNTIF(AB_Table[Абревиатура],A275)&gt;1,"DOUBLE","")</f>
        <v/>
      </c>
    </row>
    <row r="276" spans="1:5" x14ac:dyDescent="0.25">
      <c r="A276" s="10" t="s">
        <v>316</v>
      </c>
      <c r="B276" s="17" t="s">
        <v>607</v>
      </c>
      <c r="C276" s="9"/>
      <c r="D276" s="9"/>
      <c r="E276" s="48" t="str">
        <f>IF(COUNTIF(AB_Table[Абревиатура],A276)&gt;1,"DOUBLE","")</f>
        <v/>
      </c>
    </row>
    <row r="277" spans="1:5" x14ac:dyDescent="0.25">
      <c r="A277" s="10" t="s">
        <v>687</v>
      </c>
      <c r="B277" s="17" t="s">
        <v>688</v>
      </c>
      <c r="C277" s="9"/>
      <c r="D277" s="9"/>
      <c r="E277" s="48" t="str">
        <f>IF(COUNTIF(AB_Table[Абревиатура],A277)&gt;1,"DOUBLE","")</f>
        <v/>
      </c>
    </row>
    <row r="278" spans="1:5" x14ac:dyDescent="0.25">
      <c r="A278" s="10" t="s">
        <v>356</v>
      </c>
      <c r="B278" s="17" t="s">
        <v>376</v>
      </c>
      <c r="C278" s="9"/>
      <c r="D278" s="9"/>
      <c r="E278" s="48" t="str">
        <f>IF(COUNTIF(AB_Table[Абревиатура],A278)&gt;1,"DOUBLE","")</f>
        <v/>
      </c>
    </row>
    <row r="279" spans="1:5" x14ac:dyDescent="0.25">
      <c r="A279" s="10" t="s">
        <v>624</v>
      </c>
      <c r="B279" s="5" t="s">
        <v>625</v>
      </c>
      <c r="C279" s="9"/>
      <c r="D279" s="13"/>
      <c r="E279" s="48" t="str">
        <f>IF(COUNTIF(AB_Table[Абревиатура],A279)&gt;1,"DOUBLE","")</f>
        <v/>
      </c>
    </row>
    <row r="280" spans="1:5" x14ac:dyDescent="0.25">
      <c r="A280" s="10" t="s">
        <v>616</v>
      </c>
      <c r="B280" s="54" t="s">
        <v>642</v>
      </c>
      <c r="C280" s="13"/>
      <c r="D280" s="13"/>
      <c r="E280" s="48" t="str">
        <f>IF(COUNTIF(AB_Table[Абревиатура],A280)&gt;1,"DOUBLE","")</f>
        <v/>
      </c>
    </row>
    <row r="281" spans="1:5" x14ac:dyDescent="0.25">
      <c r="A281" s="10" t="s">
        <v>198</v>
      </c>
      <c r="B281" s="5" t="s">
        <v>375</v>
      </c>
      <c r="C281" s="13"/>
      <c r="D281" s="13"/>
      <c r="E281" s="48" t="str">
        <f>IF(COUNTIF(AB_Table[Абревиатура],A281)&gt;1,"DOUBLE","")</f>
        <v/>
      </c>
    </row>
    <row r="282" spans="1:5" x14ac:dyDescent="0.25">
      <c r="A282" s="10" t="s">
        <v>433</v>
      </c>
      <c r="B282" s="5" t="s">
        <v>492</v>
      </c>
      <c r="C282" s="13"/>
      <c r="D282" s="13" t="s">
        <v>493</v>
      </c>
      <c r="E282" s="48" t="str">
        <f>IF(COUNTIF(AB_Table[Абревиатура],A282)&gt;1,"DOUBLE","")</f>
        <v/>
      </c>
    </row>
    <row r="283" spans="1:5" x14ac:dyDescent="0.25">
      <c r="A283" s="10" t="s">
        <v>866</v>
      </c>
      <c r="B283" s="5" t="s">
        <v>867</v>
      </c>
      <c r="C283" s="13"/>
      <c r="D283" s="13"/>
      <c r="E283" s="49" t="str">
        <f>IF(COUNTIF(AB_Table[Абревиатура],A283)&gt;1,"DOUBLE","")</f>
        <v/>
      </c>
    </row>
    <row r="284" spans="1:5" x14ac:dyDescent="0.25">
      <c r="A284" s="10" t="s">
        <v>263</v>
      </c>
      <c r="B284" s="17" t="s">
        <v>264</v>
      </c>
      <c r="C284" s="8"/>
      <c r="D284" s="41" t="s">
        <v>265</v>
      </c>
      <c r="E284" s="48" t="str">
        <f>IF(COUNTIF(AB_Table[Абревиатура],A284)&gt;1,"DOUBLE","")</f>
        <v/>
      </c>
    </row>
    <row r="285" spans="1:5" x14ac:dyDescent="0.25">
      <c r="A285" s="10" t="s">
        <v>584</v>
      </c>
      <c r="B285" s="17" t="s">
        <v>585</v>
      </c>
      <c r="C285" s="9"/>
      <c r="D285" s="73" t="s">
        <v>586</v>
      </c>
      <c r="E285" s="48" t="str">
        <f>IF(COUNTIF(AB_Table[Абревиатура],A285)&gt;1,"DOUBLE","")</f>
        <v/>
      </c>
    </row>
    <row r="286" spans="1:5" x14ac:dyDescent="0.25">
      <c r="A286" s="10" t="s">
        <v>119</v>
      </c>
      <c r="B286" s="11" t="s">
        <v>120</v>
      </c>
      <c r="C286" s="9"/>
      <c r="D286" s="9"/>
      <c r="E286" s="48" t="str">
        <f>IF(COUNTIF(AB_Table[Абревиатура],A286)&gt;1,"DOUBLE","")</f>
        <v/>
      </c>
    </row>
    <row r="287" spans="1:5" x14ac:dyDescent="0.25">
      <c r="A287" s="29" t="s">
        <v>532</v>
      </c>
      <c r="B287" s="71" t="s">
        <v>533</v>
      </c>
      <c r="C287" s="21"/>
      <c r="D287" s="21"/>
      <c r="E287" s="48" t="str">
        <f>IF(COUNTIF(AB_Table[Абревиатура],A287)&gt;1,"DOUBLE","")</f>
        <v/>
      </c>
    </row>
    <row r="288" spans="1:5" x14ac:dyDescent="0.25">
      <c r="A288" s="29" t="s">
        <v>539</v>
      </c>
      <c r="B288" s="17" t="s">
        <v>692</v>
      </c>
      <c r="C288" s="21"/>
      <c r="D288" s="21"/>
      <c r="E288" s="48" t="str">
        <f>IF(COUNTIF(AB_Table[Абревиатура],A288)&gt;1,"DOUBLE","")</f>
        <v/>
      </c>
    </row>
    <row r="289" spans="1:5" x14ac:dyDescent="0.25">
      <c r="A289" s="10" t="s">
        <v>121</v>
      </c>
      <c r="B289" s="17" t="s">
        <v>122</v>
      </c>
      <c r="C289" s="9"/>
      <c r="D289" s="9"/>
      <c r="E289" s="48" t="str">
        <f>IF(COUNTIF(AB_Table[Абревиатура],A289)&gt;1,"DOUBLE","")</f>
        <v/>
      </c>
    </row>
    <row r="290" spans="1:5" x14ac:dyDescent="0.25">
      <c r="A290" s="10" t="s">
        <v>200</v>
      </c>
      <c r="B290" s="17" t="s">
        <v>201</v>
      </c>
      <c r="C290" s="9"/>
      <c r="D290" s="9"/>
      <c r="E290" s="48" t="str">
        <f>IF(COUNTIF(AB_Table[Абревиатура],A290)&gt;1,"DOUBLE","")</f>
        <v/>
      </c>
    </row>
    <row r="291" spans="1:5" x14ac:dyDescent="0.25">
      <c r="A291" s="10" t="s">
        <v>123</v>
      </c>
      <c r="B291" s="17" t="s">
        <v>124</v>
      </c>
      <c r="C291" s="9"/>
      <c r="D291" s="9"/>
      <c r="E291" s="48" t="str">
        <f>IF(COUNTIF(AB_Table[Абревиатура],A291)&gt;1,"DOUBLE","")</f>
        <v/>
      </c>
    </row>
    <row r="292" spans="1:5" x14ac:dyDescent="0.25">
      <c r="A292" s="10" t="s">
        <v>395</v>
      </c>
      <c r="B292" s="17" t="s">
        <v>396</v>
      </c>
      <c r="C292" s="9"/>
      <c r="D292" s="9"/>
      <c r="E292" s="48" t="str">
        <f>IF(COUNTIF(AB_Table[Абревиатура],A292)&gt;1,"DOUBLE","")</f>
        <v/>
      </c>
    </row>
    <row r="293" spans="1:5" x14ac:dyDescent="0.25">
      <c r="A293" s="10" t="s">
        <v>125</v>
      </c>
      <c r="B293" s="17" t="s">
        <v>126</v>
      </c>
      <c r="C293" s="9"/>
      <c r="D293" s="9"/>
      <c r="E293" s="48" t="str">
        <f>IF(COUNTIF(AB_Table[Абревиатура],A293)&gt;1,"DOUBLE","")</f>
        <v/>
      </c>
    </row>
    <row r="294" spans="1:5" x14ac:dyDescent="0.25">
      <c r="A294" s="10" t="s">
        <v>694</v>
      </c>
      <c r="B294" s="5" t="s">
        <v>696</v>
      </c>
      <c r="C294" s="9"/>
      <c r="D294" s="9"/>
      <c r="E294" s="50" t="str">
        <f>IF(COUNTIF(AB_Table[Абревиатура],A294)&gt;1,"DOUBLE","")</f>
        <v/>
      </c>
    </row>
    <row r="295" spans="1:5" x14ac:dyDescent="0.25">
      <c r="A295" s="10" t="s">
        <v>498</v>
      </c>
      <c r="B295" s="5" t="s">
        <v>364</v>
      </c>
      <c r="C295" s="9"/>
      <c r="D295" s="9"/>
      <c r="E295" s="48" t="str">
        <f>IF(COUNTIF(AB_Table[Абревиатура],A295)&gt;1,"DOUBLE","")</f>
        <v/>
      </c>
    </row>
    <row r="296" spans="1:5" x14ac:dyDescent="0.25">
      <c r="A296" s="10" t="s">
        <v>411</v>
      </c>
      <c r="B296" s="17" t="s">
        <v>412</v>
      </c>
      <c r="C296" s="9"/>
      <c r="D296" s="9"/>
      <c r="E296" s="48" t="str">
        <f>IF(COUNTIF(AB_Table[Абревиатура],A296)&gt;1,"DOUBLE","")</f>
        <v/>
      </c>
    </row>
    <row r="297" spans="1:5" x14ac:dyDescent="0.25">
      <c r="A297" s="10" t="s">
        <v>722</v>
      </c>
      <c r="B297" s="17" t="s">
        <v>723</v>
      </c>
      <c r="C297" s="9"/>
      <c r="D297" s="9"/>
      <c r="E297" s="50" t="str">
        <f>IF(COUNTIF(AB_Table[Абревиатура],A297)&gt;1,"DOUBLE","")</f>
        <v/>
      </c>
    </row>
    <row r="298" spans="1:5" x14ac:dyDescent="0.25">
      <c r="A298" s="10" t="s">
        <v>868</v>
      </c>
      <c r="B298" s="17" t="s">
        <v>869</v>
      </c>
      <c r="C298" s="6"/>
      <c r="D298" s="6"/>
      <c r="E298" s="49" t="str">
        <f>IF(COUNTIF(AB_Table[Абревиатура],A298)&gt;1,"DOUBLE","")</f>
        <v/>
      </c>
    </row>
    <row r="299" spans="1:5" x14ac:dyDescent="0.25">
      <c r="A299" s="10" t="s">
        <v>170</v>
      </c>
      <c r="B299" s="17" t="s">
        <v>171</v>
      </c>
      <c r="C299" s="9"/>
      <c r="D299" s="9"/>
      <c r="E299" s="48" t="str">
        <f>IF(COUNTIF(AB_Table[Абревиатура],A299)&gt;1,"DOUBLE","")</f>
        <v/>
      </c>
    </row>
    <row r="300" spans="1:5" x14ac:dyDescent="0.25">
      <c r="A300" s="52" t="s">
        <v>511</v>
      </c>
      <c r="B300" s="17" t="s">
        <v>516</v>
      </c>
      <c r="C300" s="9"/>
      <c r="D300" s="9"/>
      <c r="E300" s="48" t="str">
        <f>IF(COUNTIF(AB_Table[Абревиатура],A300)&gt;1,"DOUBLE","")</f>
        <v/>
      </c>
    </row>
    <row r="301" spans="1:5" x14ac:dyDescent="0.25">
      <c r="A301" s="10" t="s">
        <v>870</v>
      </c>
      <c r="B301" s="17" t="s">
        <v>516</v>
      </c>
      <c r="C301" s="6"/>
      <c r="D301" s="6"/>
      <c r="E301" s="49" t="str">
        <f>IF(COUNTIF(AB_Table[Абревиатура],A301)&gt;1,"DOUBLE","")</f>
        <v/>
      </c>
    </row>
    <row r="302" spans="1:5" x14ac:dyDescent="0.25">
      <c r="A302" s="10" t="s">
        <v>407</v>
      </c>
      <c r="B302" s="17" t="s">
        <v>408</v>
      </c>
      <c r="C302" s="9"/>
      <c r="D302" s="9"/>
      <c r="E302" s="48" t="str">
        <f>IF(COUNTIF(AB_Table[Абревиатура],A302)&gt;1,"DOUBLE","")</f>
        <v/>
      </c>
    </row>
    <row r="303" spans="1:5" x14ac:dyDescent="0.25">
      <c r="A303" s="10" t="s">
        <v>197</v>
      </c>
      <c r="B303" s="17" t="s">
        <v>276</v>
      </c>
      <c r="C303" s="8"/>
      <c r="D303" s="8" t="s">
        <v>277</v>
      </c>
      <c r="E303" s="48" t="str">
        <f>IF(COUNTIF(AB_Table[Абревиатура],A303)&gt;1,"DOUBLE","")</f>
        <v/>
      </c>
    </row>
    <row r="304" spans="1:5" x14ac:dyDescent="0.25">
      <c r="A304" s="10" t="s">
        <v>269</v>
      </c>
      <c r="B304" s="17" t="s">
        <v>270</v>
      </c>
      <c r="C304" s="8"/>
      <c r="D304" s="8" t="s">
        <v>271</v>
      </c>
      <c r="E304" s="48" t="str">
        <f>IF(COUNTIF(AB_Table[Абревиатура],A304)&gt;1,"DOUBLE","")</f>
        <v/>
      </c>
    </row>
    <row r="305" spans="1:5" x14ac:dyDescent="0.25">
      <c r="A305" s="10" t="s">
        <v>319</v>
      </c>
      <c r="B305" s="17"/>
      <c r="C305" s="8"/>
      <c r="D305" s="8"/>
      <c r="E305" s="48" t="str">
        <f>IF(COUNTIF(AB_Table[Абревиатура],A305)&gt;1,"DOUBLE","")</f>
        <v/>
      </c>
    </row>
    <row r="306" spans="1:5" x14ac:dyDescent="0.25">
      <c r="A306" s="10" t="s">
        <v>522</v>
      </c>
      <c r="B306" s="17" t="s">
        <v>523</v>
      </c>
      <c r="C306" s="9"/>
      <c r="D306" s="9"/>
      <c r="E306" s="48" t="str">
        <f>IF(COUNTIF(AB_Table[Абревиатура],A306)&gt;1,"DOUBLE","")</f>
        <v/>
      </c>
    </row>
    <row r="307" spans="1:5" x14ac:dyDescent="0.25">
      <c r="A307" s="10" t="s">
        <v>172</v>
      </c>
      <c r="B307" s="17" t="s">
        <v>173</v>
      </c>
      <c r="C307" s="9"/>
      <c r="D307" s="9"/>
      <c r="E307" s="48" t="str">
        <f>IF(COUNTIF(AB_Table[Абревиатура],A307)&gt;1,"DOUBLE","")</f>
        <v/>
      </c>
    </row>
    <row r="308" spans="1:5" x14ac:dyDescent="0.25">
      <c r="A308" s="10" t="s">
        <v>324</v>
      </c>
      <c r="B308" s="17" t="s">
        <v>871</v>
      </c>
      <c r="C308" s="9"/>
      <c r="D308" s="9" t="s">
        <v>589</v>
      </c>
      <c r="E308" s="48" t="str">
        <f>IF(COUNTIF(AB_Table[Абревиатура],A308)&gt;1,"DOUBLE","")</f>
        <v/>
      </c>
    </row>
    <row r="309" spans="1:5" x14ac:dyDescent="0.25">
      <c r="A309" s="10" t="s">
        <v>185</v>
      </c>
      <c r="B309" s="17" t="s">
        <v>216</v>
      </c>
      <c r="C309" s="8"/>
      <c r="D309" s="8" t="s">
        <v>217</v>
      </c>
      <c r="E309" s="48" t="str">
        <f>IF(COUNTIF(AB_Table[Абревиатура],A309)&gt;1,"DOUBLE","")</f>
        <v/>
      </c>
    </row>
    <row r="310" spans="1:5" x14ac:dyDescent="0.25">
      <c r="A310" s="10" t="s">
        <v>129</v>
      </c>
      <c r="B310" s="5" t="s">
        <v>130</v>
      </c>
      <c r="C310" s="9"/>
      <c r="D310" s="9"/>
      <c r="E310" s="48" t="str">
        <f>IF(COUNTIF(AB_Table[Абревиатура],A310)&gt;1,"DOUBLE","")</f>
        <v/>
      </c>
    </row>
    <row r="311" spans="1:5" x14ac:dyDescent="0.25">
      <c r="A311" s="10" t="s">
        <v>872</v>
      </c>
      <c r="B311" s="5" t="s">
        <v>130</v>
      </c>
      <c r="C311" s="6"/>
      <c r="D311" s="6"/>
      <c r="E311" s="49" t="str">
        <f>IF(COUNTIF(AB_Table[Абревиатура],A311)&gt;1,"DOUBLE","")</f>
        <v/>
      </c>
    </row>
    <row r="312" spans="1:5" x14ac:dyDescent="0.25">
      <c r="A312" s="10" t="s">
        <v>560</v>
      </c>
      <c r="B312" s="5"/>
      <c r="C312" s="9"/>
      <c r="D312" s="9" t="s">
        <v>561</v>
      </c>
      <c r="E312" s="48" t="str">
        <f>IF(COUNTIF(AB_Table[Абревиатура],A312)&gt;1,"DOUBLE","")</f>
        <v/>
      </c>
    </row>
    <row r="313" spans="1:5" x14ac:dyDescent="0.25">
      <c r="A313" s="10" t="s">
        <v>132</v>
      </c>
      <c r="B313" s="5" t="s">
        <v>133</v>
      </c>
      <c r="C313" s="9"/>
      <c r="D313" s="9"/>
      <c r="E313" s="48" t="str">
        <f>IF(COUNTIF(AB_Table[Абревиатура],A313)&gt;1,"DOUBLE","")</f>
        <v/>
      </c>
    </row>
    <row r="314" spans="1:5" x14ac:dyDescent="0.25">
      <c r="A314" s="10" t="s">
        <v>339</v>
      </c>
      <c r="B314" s="5"/>
      <c r="C314" s="8"/>
      <c r="D314" s="8"/>
      <c r="E314" s="48" t="str">
        <f>IF(COUNTIF(AB_Table[Абревиатура],A314)&gt;1,"DOUBLE","")</f>
        <v/>
      </c>
    </row>
    <row r="315" spans="1:5" x14ac:dyDescent="0.25">
      <c r="A315" s="10" t="s">
        <v>245</v>
      </c>
      <c r="B315" s="5" t="s">
        <v>246</v>
      </c>
      <c r="C315" s="8"/>
      <c r="D315" s="8" t="s">
        <v>247</v>
      </c>
      <c r="E315" s="48" t="str">
        <f>IF(COUNTIF(AB_Table[Абревиатура],A315)&gt;1,"DOUBLE","")</f>
        <v/>
      </c>
    </row>
    <row r="316" spans="1:5" x14ac:dyDescent="0.25">
      <c r="A316" s="31" t="s">
        <v>652</v>
      </c>
      <c r="B316" s="5" t="s">
        <v>708</v>
      </c>
      <c r="C316" s="39"/>
      <c r="D316" s="40" t="s">
        <v>657</v>
      </c>
      <c r="E316" s="48" t="str">
        <f>IF(COUNTIF(AB_Table[Абревиатура],A316)&gt;1,"DOUBLE","")</f>
        <v/>
      </c>
    </row>
    <row r="317" spans="1:5" x14ac:dyDescent="0.25">
      <c r="A317" s="10" t="s">
        <v>127</v>
      </c>
      <c r="B317" s="5" t="s">
        <v>128</v>
      </c>
      <c r="C317" s="9"/>
      <c r="D317" s="9"/>
      <c r="E317" s="48" t="str">
        <f>IF(COUNTIF(AB_Table[Абревиатура],A317)&gt;1,"DOUBLE","")</f>
        <v/>
      </c>
    </row>
    <row r="318" spans="1:5" x14ac:dyDescent="0.25">
      <c r="A318" s="10" t="s">
        <v>401</v>
      </c>
      <c r="B318" s="46" t="s">
        <v>402</v>
      </c>
      <c r="C318" s="9"/>
      <c r="D318" s="9"/>
      <c r="E318" s="48" t="str">
        <f>IF(COUNTIF(AB_Table[Абревиатура],A318)&gt;1,"DOUBLE","")</f>
        <v/>
      </c>
    </row>
    <row r="319" spans="1:5" x14ac:dyDescent="0.25">
      <c r="A319" s="10" t="s">
        <v>250</v>
      </c>
      <c r="B319" s="5" t="s">
        <v>577</v>
      </c>
      <c r="C319" s="8"/>
      <c r="D319" s="8" t="s">
        <v>253</v>
      </c>
      <c r="E319" s="48" t="str">
        <f>IF(COUNTIF(AB_Table[Абревиатура],A319)&gt;1,"DOUBLE","")</f>
        <v/>
      </c>
    </row>
    <row r="320" spans="1:5" x14ac:dyDescent="0.25">
      <c r="A320" s="10" t="s">
        <v>460</v>
      </c>
      <c r="B320" s="17" t="s">
        <v>131</v>
      </c>
      <c r="C320" s="9"/>
      <c r="D320" s="9"/>
      <c r="E320" s="48" t="str">
        <f>IF(COUNTIF(AB_Table[Абревиатура],A320)&gt;1,"DOUBLE","")</f>
        <v/>
      </c>
    </row>
    <row r="321" spans="1:5" x14ac:dyDescent="0.25">
      <c r="A321" s="34" t="s">
        <v>500</v>
      </c>
      <c r="B321" s="72" t="s">
        <v>501</v>
      </c>
      <c r="C321" s="15"/>
      <c r="D321" s="15"/>
      <c r="E321" s="48" t="str">
        <f>IF(COUNTIF(AB_Table[Абревиатура],A321)&gt;1,"DOUBLE","")</f>
        <v/>
      </c>
    </row>
    <row r="322" spans="1:5" x14ac:dyDescent="0.25">
      <c r="A322" s="10" t="s">
        <v>321</v>
      </c>
      <c r="B322" s="17"/>
      <c r="C322" s="8"/>
      <c r="D322" s="8"/>
      <c r="E322" s="48" t="str">
        <f>IF(COUNTIF(AB_Table[Абревиатура],A322)&gt;1,"DOUBLE","")</f>
        <v/>
      </c>
    </row>
    <row r="323" spans="1:5" x14ac:dyDescent="0.25">
      <c r="A323" s="10" t="s">
        <v>374</v>
      </c>
      <c r="B323" s="17" t="s">
        <v>608</v>
      </c>
      <c r="C323" s="9"/>
      <c r="D323" s="9"/>
      <c r="E323" s="48" t="str">
        <f>IF(COUNTIF(AB_Table[Абревиатура],A323)&gt;1,"DOUBLE","")</f>
        <v/>
      </c>
    </row>
    <row r="324" spans="1:5" x14ac:dyDescent="0.25">
      <c r="A324" s="10" t="s">
        <v>450</v>
      </c>
      <c r="B324" s="11" t="s">
        <v>134</v>
      </c>
      <c r="C324" s="9"/>
      <c r="D324" s="9"/>
      <c r="E324" s="48" t="str">
        <f>IF(COUNTIF(AB_Table[Абревиатура],A324)&gt;1,"DOUBLE","")</f>
        <v/>
      </c>
    </row>
    <row r="325" spans="1:5" x14ac:dyDescent="0.25">
      <c r="A325" s="10" t="s">
        <v>451</v>
      </c>
      <c r="B325" s="17" t="s">
        <v>464</v>
      </c>
      <c r="C325" s="9"/>
      <c r="D325" s="9"/>
      <c r="E325" s="48" t="str">
        <f>IF(COUNTIF(AB_Table[Абревиатура],A325)&gt;1,"DOUBLE","")</f>
        <v/>
      </c>
    </row>
    <row r="326" spans="1:5" x14ac:dyDescent="0.25">
      <c r="A326" s="10" t="s">
        <v>873</v>
      </c>
      <c r="B326" s="5" t="s">
        <v>874</v>
      </c>
      <c r="C326" s="6"/>
      <c r="D326" s="6"/>
      <c r="E326" s="49" t="str">
        <f>IF(COUNTIF(AB_Table[Абревиатура],A326)&gt;1,"DOUBLE","")</f>
        <v/>
      </c>
    </row>
    <row r="327" spans="1:5" x14ac:dyDescent="0.25">
      <c r="A327" s="10" t="s">
        <v>137</v>
      </c>
      <c r="B327" s="5" t="s">
        <v>138</v>
      </c>
      <c r="C327" s="9"/>
      <c r="D327" s="9"/>
      <c r="E327" s="48" t="str">
        <f>IF(COUNTIF(AB_Table[Абревиатура],A327)&gt;1,"DOUBLE","")</f>
        <v/>
      </c>
    </row>
    <row r="328" spans="1:5" x14ac:dyDescent="0.25">
      <c r="A328" s="10" t="s">
        <v>704</v>
      </c>
      <c r="B328" s="5" t="s">
        <v>705</v>
      </c>
      <c r="C328" s="8"/>
      <c r="D328" s="8" t="s">
        <v>311</v>
      </c>
      <c r="E328" s="48" t="str">
        <f>IF(COUNTIF(AB_Table[Абревиатура],A328)&gt;1,"DOUBLE","")</f>
        <v/>
      </c>
    </row>
    <row r="329" spans="1:5" x14ac:dyDescent="0.25">
      <c r="A329" s="10" t="s">
        <v>333</v>
      </c>
      <c r="B329" s="5" t="s">
        <v>353</v>
      </c>
      <c r="C329" s="9"/>
      <c r="D329" s="9"/>
      <c r="E329" s="48" t="str">
        <f>IF(COUNTIF(AB_Table[Абревиатура],A329)&gt;1,"DOUBLE","")</f>
        <v/>
      </c>
    </row>
    <row r="330" spans="1:5" x14ac:dyDescent="0.25">
      <c r="A330" s="10" t="s">
        <v>631</v>
      </c>
      <c r="B330" s="5" t="s">
        <v>632</v>
      </c>
      <c r="C330" s="9"/>
      <c r="D330" s="9"/>
      <c r="E330" s="48" t="str">
        <f>IF(COUNTIF(AB_Table[Абревиатура],A330)&gt;1,"DOUBLE","")</f>
        <v/>
      </c>
    </row>
    <row r="331" spans="1:5" x14ac:dyDescent="0.25">
      <c r="A331" s="10" t="s">
        <v>875</v>
      </c>
      <c r="B331" s="5" t="s">
        <v>876</v>
      </c>
      <c r="C331" s="6"/>
      <c r="D331" s="6"/>
      <c r="E331" s="49" t="str">
        <f>IF(COUNTIF(AB_Table[Абревиатура],A331)&gt;1,"DOUBLE","")</f>
        <v/>
      </c>
    </row>
    <row r="332" spans="1:5" x14ac:dyDescent="0.25">
      <c r="A332" s="10" t="s">
        <v>452</v>
      </c>
      <c r="B332" s="17" t="s">
        <v>463</v>
      </c>
      <c r="C332" s="9"/>
      <c r="D332" s="9"/>
      <c r="E332" s="48" t="str">
        <f>IF(COUNTIF(AB_Table[Абревиатура],A332)&gt;1,"DOUBLE","")</f>
        <v/>
      </c>
    </row>
    <row r="333" spans="1:5" x14ac:dyDescent="0.25">
      <c r="A333" s="10" t="s">
        <v>877</v>
      </c>
      <c r="B333" s="5" t="s">
        <v>878</v>
      </c>
      <c r="C333" s="6"/>
      <c r="D333" s="6"/>
      <c r="E333" s="49" t="str">
        <f>IF(COUNTIF(AB_Table[Абревиатура],A333)&gt;1,"DOUBLE","")</f>
        <v/>
      </c>
    </row>
    <row r="334" spans="1:5" x14ac:dyDescent="0.25">
      <c r="A334" s="10" t="s">
        <v>676</v>
      </c>
      <c r="B334" s="5" t="s">
        <v>677</v>
      </c>
      <c r="C334" s="9"/>
      <c r="D334" s="9"/>
      <c r="E334" s="48" t="str">
        <f>IF(COUNTIF(AB_Table[Абревиатура],A334)&gt;1,"DOUBLE","")</f>
        <v/>
      </c>
    </row>
    <row r="335" spans="1:5" x14ac:dyDescent="0.25">
      <c r="A335" s="10" t="s">
        <v>550</v>
      </c>
      <c r="B335" s="5" t="s">
        <v>551</v>
      </c>
      <c r="C335" s="9"/>
      <c r="D335" s="9"/>
      <c r="E335" s="48" t="str">
        <f>IF(COUNTIF(AB_Table[Абревиатура],A335)&gt;1,"DOUBLE","")</f>
        <v/>
      </c>
    </row>
    <row r="336" spans="1:5" x14ac:dyDescent="0.25">
      <c r="A336" s="10" t="s">
        <v>879</v>
      </c>
      <c r="B336" s="5" t="s">
        <v>880</v>
      </c>
      <c r="C336" s="6"/>
      <c r="D336" s="6"/>
      <c r="E336" s="49" t="str">
        <f>IF(COUNTIF(AB_Table[Абревиатура],A336)&gt;1,"DOUBLE","")</f>
        <v/>
      </c>
    </row>
    <row r="337" spans="1:5" x14ac:dyDescent="0.25">
      <c r="A337" s="10" t="s">
        <v>453</v>
      </c>
      <c r="B337" s="5" t="s">
        <v>494</v>
      </c>
      <c r="C337" s="9"/>
      <c r="D337" s="9" t="s">
        <v>495</v>
      </c>
      <c r="E337" s="48" t="str">
        <f>IF(COUNTIF(AB_Table[Абревиатура],A337)&gt;1,"DOUBLE","")</f>
        <v/>
      </c>
    </row>
    <row r="338" spans="1:5" x14ac:dyDescent="0.25">
      <c r="A338" s="10" t="s">
        <v>717</v>
      </c>
      <c r="B338" s="5" t="s">
        <v>755</v>
      </c>
      <c r="C338" s="6"/>
      <c r="D338" s="6"/>
      <c r="E338" s="49" t="str">
        <f>IF(COUNTIF(AB_Table[Абревиатура],A338)&gt;1,"DOUBLE","")</f>
        <v/>
      </c>
    </row>
    <row r="339" spans="1:5" x14ac:dyDescent="0.25">
      <c r="A339" s="10" t="s">
        <v>214</v>
      </c>
      <c r="B339" s="5" t="s">
        <v>213</v>
      </c>
      <c r="C339" s="8"/>
      <c r="D339" s="8" t="s">
        <v>215</v>
      </c>
      <c r="E339" s="48" t="str">
        <f>IF(COUNTIF(AB_Table[Абревиатура],A339)&gt;1,"DOUBLE","")</f>
        <v/>
      </c>
    </row>
    <row r="340" spans="1:5" x14ac:dyDescent="0.25">
      <c r="A340" s="67" t="s">
        <v>1047</v>
      </c>
      <c r="B340" s="5" t="s">
        <v>1113</v>
      </c>
      <c r="C340" s="6"/>
      <c r="D340" s="6"/>
      <c r="E340" s="49" t="str">
        <f>IF(COUNTIF(AB_Table[Абревиатура],A340)&gt;1,"DOUBLE","")</f>
        <v/>
      </c>
    </row>
    <row r="341" spans="1:5" x14ac:dyDescent="0.25">
      <c r="A341" s="10" t="s">
        <v>403</v>
      </c>
      <c r="B341" s="46" t="s">
        <v>404</v>
      </c>
      <c r="C341" s="9"/>
      <c r="D341" s="9"/>
      <c r="E341" s="48" t="str">
        <f>IF(COUNTIF(AB_Table[Абревиатура],A341)&gt;1,"DOUBLE","")</f>
        <v/>
      </c>
    </row>
    <row r="342" spans="1:5" x14ac:dyDescent="0.25">
      <c r="A342" s="10" t="s">
        <v>139</v>
      </c>
      <c r="B342" s="5" t="s">
        <v>140</v>
      </c>
      <c r="C342" s="9"/>
      <c r="D342" s="9"/>
      <c r="E342" s="48" t="str">
        <f>IF(COUNTIF(AB_Table[Абревиатура],A342)&gt;1,"DOUBLE","")</f>
        <v/>
      </c>
    </row>
    <row r="343" spans="1:5" x14ac:dyDescent="0.25">
      <c r="A343" s="10" t="s">
        <v>881</v>
      </c>
      <c r="B343" s="5" t="s">
        <v>882</v>
      </c>
      <c r="C343" s="6"/>
      <c r="D343" s="6"/>
      <c r="E343" s="49" t="str">
        <f>IF(COUNTIF(AB_Table[Абревиатура],A343)&gt;1,"DOUBLE","")</f>
        <v/>
      </c>
    </row>
    <row r="344" spans="1:5" x14ac:dyDescent="0.25">
      <c r="A344" s="10" t="s">
        <v>346</v>
      </c>
      <c r="B344" s="46" t="s">
        <v>373</v>
      </c>
      <c r="C344" s="9"/>
      <c r="D344" s="9"/>
      <c r="E344" s="48" t="str">
        <f>IF(COUNTIF(AB_Table[Абревиатура],A344)&gt;1,"DOUBLE","")</f>
        <v/>
      </c>
    </row>
    <row r="345" spans="1:5" x14ac:dyDescent="0.25">
      <c r="A345" s="10" t="s">
        <v>141</v>
      </c>
      <c r="B345" s="5" t="s">
        <v>142</v>
      </c>
      <c r="C345" s="9"/>
      <c r="D345" s="9"/>
      <c r="E345" s="48" t="str">
        <f>IF(COUNTIF(AB_Table[Абревиатура],A345)&gt;1,"DOUBLE","")</f>
        <v/>
      </c>
    </row>
    <row r="346" spans="1:5" x14ac:dyDescent="0.25">
      <c r="A346" s="31" t="s">
        <v>744</v>
      </c>
      <c r="B346" s="24" t="s">
        <v>745</v>
      </c>
      <c r="C346" s="25"/>
      <c r="D346" s="25"/>
      <c r="E346" s="50" t="str">
        <f>IF(COUNTIF(AB_Table[Абревиатура],A346)&gt;1,"DOUBLE","")</f>
        <v/>
      </c>
    </row>
    <row r="347" spans="1:5" x14ac:dyDescent="0.25">
      <c r="A347" s="10" t="s">
        <v>883</v>
      </c>
      <c r="B347" s="5" t="s">
        <v>745</v>
      </c>
      <c r="C347" s="6"/>
      <c r="D347" s="6"/>
      <c r="E347" s="49" t="str">
        <f>IF(COUNTIF(AB_Table[Абревиатура],A347)&gt;1,"DOUBLE","")</f>
        <v/>
      </c>
    </row>
    <row r="348" spans="1:5" x14ac:dyDescent="0.25">
      <c r="A348" s="10" t="s">
        <v>743</v>
      </c>
      <c r="B348" s="5" t="s">
        <v>760</v>
      </c>
      <c r="C348" s="6"/>
      <c r="D348" s="6"/>
      <c r="E348" s="49" t="str">
        <f>IF(COUNTIF(AB_Table[Абревиатура],A348)&gt;1,"DOUBLE","")</f>
        <v/>
      </c>
    </row>
    <row r="349" spans="1:5" x14ac:dyDescent="0.25">
      <c r="A349" s="10" t="s">
        <v>884</v>
      </c>
      <c r="B349" s="5" t="s">
        <v>885</v>
      </c>
      <c r="C349" s="6"/>
      <c r="D349" s="6"/>
      <c r="E349" s="49" t="str">
        <f>IF(COUNTIF(AB_Table[Абревиатура],A349)&gt;1,"DOUBLE","")</f>
        <v/>
      </c>
    </row>
    <row r="350" spans="1:5" x14ac:dyDescent="0.25">
      <c r="A350" s="10" t="s">
        <v>1106</v>
      </c>
      <c r="B350" s="5" t="s">
        <v>1141</v>
      </c>
      <c r="C350" s="9"/>
      <c r="D350" s="9"/>
      <c r="E350" s="50" t="str">
        <f>IF(COUNTIF(AB_Table[Абревиатура],A350)&gt;1,"DOUBLE","")</f>
        <v/>
      </c>
    </row>
    <row r="351" spans="1:5" ht="24" x14ac:dyDescent="0.25">
      <c r="A351" s="10" t="s">
        <v>275</v>
      </c>
      <c r="B351" s="5" t="s">
        <v>273</v>
      </c>
      <c r="C351" s="8"/>
      <c r="D351" s="8" t="s">
        <v>274</v>
      </c>
      <c r="E351" s="48" t="str">
        <f>IF(COUNTIF(AB_Table[Абревиатура],A351)&gt;1,"DOUBLE","")</f>
        <v/>
      </c>
    </row>
    <row r="352" spans="1:5" x14ac:dyDescent="0.25">
      <c r="A352" s="10" t="s">
        <v>886</v>
      </c>
      <c r="B352" s="5" t="s">
        <v>273</v>
      </c>
      <c r="C352" s="6"/>
      <c r="D352" s="6"/>
      <c r="E352" s="49" t="str">
        <f>IF(COUNTIF(AB_Table[Абревиатура],A352)&gt;1,"DOUBLE","")</f>
        <v/>
      </c>
    </row>
    <row r="353" spans="1:5" x14ac:dyDescent="0.25">
      <c r="A353" s="34" t="s">
        <v>461</v>
      </c>
      <c r="B353" s="14" t="s">
        <v>143</v>
      </c>
      <c r="C353" s="15"/>
      <c r="D353" s="9" t="s">
        <v>527</v>
      </c>
      <c r="E353" s="48" t="str">
        <f>IF(COUNTIF(AB_Table[Абревиатура],A353)&gt;1,"DOUBLE","")</f>
        <v/>
      </c>
    </row>
    <row r="354" spans="1:5" x14ac:dyDescent="0.25">
      <c r="A354" s="10" t="s">
        <v>887</v>
      </c>
      <c r="B354" s="5" t="s">
        <v>143</v>
      </c>
      <c r="C354" s="6"/>
      <c r="D354" s="6"/>
      <c r="E354" s="49" t="str">
        <f>IF(COUNTIF(AB_Table[Абревиатура],A354)&gt;1,"DOUBLE","")</f>
        <v/>
      </c>
    </row>
    <row r="355" spans="1:5" x14ac:dyDescent="0.25">
      <c r="A355" s="10" t="s">
        <v>227</v>
      </c>
      <c r="B355" s="5"/>
      <c r="C355" s="8"/>
      <c r="D355" s="8" t="s">
        <v>228</v>
      </c>
      <c r="E355" s="48" t="str">
        <f>IF(COUNTIF(AB_Table[Абревиатура],A355)&gt;1,"DOUBLE","")</f>
        <v/>
      </c>
    </row>
    <row r="356" spans="1:5" x14ac:dyDescent="0.25">
      <c r="A356" s="10" t="s">
        <v>144</v>
      </c>
      <c r="B356" s="5" t="s">
        <v>145</v>
      </c>
      <c r="C356" s="9"/>
      <c r="D356" s="9"/>
      <c r="E356" s="48" t="str">
        <f>IF(COUNTIF(AB_Table[Абревиатура],A356)&gt;1,"DOUBLE","")</f>
        <v/>
      </c>
    </row>
    <row r="357" spans="1:5" ht="24" x14ac:dyDescent="0.25">
      <c r="A357" s="10" t="s">
        <v>235</v>
      </c>
      <c r="B357" s="55" t="s">
        <v>609</v>
      </c>
      <c r="C357" s="8"/>
      <c r="D357" s="8" t="s">
        <v>484</v>
      </c>
      <c r="E357" s="48" t="str">
        <f>IF(COUNTIF(AB_Table[Абревиатура],A357)&gt;1,"DOUBLE","")</f>
        <v/>
      </c>
    </row>
    <row r="358" spans="1:5" ht="24" x14ac:dyDescent="0.25">
      <c r="A358" s="10" t="s">
        <v>243</v>
      </c>
      <c r="B358" s="5" t="s">
        <v>610</v>
      </c>
      <c r="C358" s="8"/>
      <c r="D358" s="8" t="s">
        <v>244</v>
      </c>
      <c r="E358" s="48" t="str">
        <f>IF(COUNTIF(AB_Table[Абревиатура],A358)&gt;1,"DOUBLE","")</f>
        <v/>
      </c>
    </row>
    <row r="359" spans="1:5" x14ac:dyDescent="0.25">
      <c r="A359" s="10" t="s">
        <v>146</v>
      </c>
      <c r="B359" s="5" t="s">
        <v>147</v>
      </c>
      <c r="C359" s="9"/>
      <c r="D359" s="9"/>
      <c r="E359" s="48" t="str">
        <f>IF(COUNTIF(AB_Table[Абревиатура],A359)&gt;1,"DOUBLE","")</f>
        <v/>
      </c>
    </row>
    <row r="360" spans="1:5" x14ac:dyDescent="0.25">
      <c r="A360" s="10" t="s">
        <v>724</v>
      </c>
      <c r="B360" s="5" t="s">
        <v>725</v>
      </c>
      <c r="C360" s="9"/>
      <c r="D360" s="9"/>
      <c r="E360" s="50" t="str">
        <f>IF(COUNTIF(AB_Table[Абревиатура],A360)&gt;1,"DOUBLE","")</f>
        <v/>
      </c>
    </row>
    <row r="361" spans="1:5" x14ac:dyDescent="0.25">
      <c r="A361" s="31" t="s">
        <v>683</v>
      </c>
      <c r="B361" s="24" t="s">
        <v>691</v>
      </c>
      <c r="C361" s="39"/>
      <c r="D361" s="39"/>
      <c r="E361" s="48" t="str">
        <f>IF(COUNTIF(AB_Table[Абревиатура],A361)&gt;1,"DOUBLE","")</f>
        <v/>
      </c>
    </row>
    <row r="362" spans="1:5" x14ac:dyDescent="0.25">
      <c r="A362" s="10" t="s">
        <v>888</v>
      </c>
      <c r="B362" s="5" t="s">
        <v>889</v>
      </c>
      <c r="C362" s="6"/>
      <c r="D362" s="6"/>
      <c r="E362" s="49" t="str">
        <f>IF(COUNTIF(AB_Table[Абревиатура],A362)&gt;1,"DOUBLE","")</f>
        <v/>
      </c>
    </row>
    <row r="363" spans="1:5" x14ac:dyDescent="0.25">
      <c r="A363" s="31" t="s">
        <v>641</v>
      </c>
      <c r="B363" s="24" t="s">
        <v>663</v>
      </c>
      <c r="C363" s="39"/>
      <c r="D363" s="40" t="s">
        <v>664</v>
      </c>
      <c r="E363" s="48" t="str">
        <f>IF(COUNTIF(AB_Table[Абревиатура],A363)&gt;1,"DOUBLE","")</f>
        <v/>
      </c>
    </row>
    <row r="364" spans="1:5" x14ac:dyDescent="0.25">
      <c r="A364" s="10" t="s">
        <v>890</v>
      </c>
      <c r="B364" s="5" t="s">
        <v>891</v>
      </c>
      <c r="C364" s="6"/>
      <c r="D364" s="6"/>
      <c r="E364" s="49" t="str">
        <f>IF(COUNTIF(AB_Table[Абревиатура],A364)&gt;1,"DOUBLE","")</f>
        <v/>
      </c>
    </row>
    <row r="365" spans="1:5" x14ac:dyDescent="0.25">
      <c r="A365" s="10" t="s">
        <v>328</v>
      </c>
      <c r="B365" s="5" t="s">
        <v>757</v>
      </c>
      <c r="C365" s="9"/>
      <c r="D365" s="9"/>
      <c r="E365" s="50" t="str">
        <f>IF(COUNTIF(AB_Table[Абревиатура],A365)&gt;1,"DOUBLE","")</f>
        <v/>
      </c>
    </row>
    <row r="366" spans="1:5" x14ac:dyDescent="0.25">
      <c r="A366" s="10" t="s">
        <v>462</v>
      </c>
      <c r="B366" s="5" t="s">
        <v>364</v>
      </c>
      <c r="C366" s="9"/>
      <c r="D366" s="9"/>
      <c r="E366" s="48" t="str">
        <f>IF(COUNTIF(AB_Table[Абревиатура],A366)&gt;1,"DOUBLE","")</f>
        <v/>
      </c>
    </row>
    <row r="367" spans="1:5" x14ac:dyDescent="0.25">
      <c r="A367" s="10" t="s">
        <v>293</v>
      </c>
      <c r="B367" s="5" t="s">
        <v>290</v>
      </c>
      <c r="C367" s="8"/>
      <c r="D367" s="8" t="s">
        <v>291</v>
      </c>
      <c r="E367" s="48" t="str">
        <f>IF(COUNTIF(AB_Table[Абревиатура],A367)&gt;1,"DOUBLE","")</f>
        <v/>
      </c>
    </row>
    <row r="368" spans="1:5" x14ac:dyDescent="0.25">
      <c r="A368" s="10" t="s">
        <v>892</v>
      </c>
      <c r="B368" s="5" t="s">
        <v>893</v>
      </c>
      <c r="C368" s="6"/>
      <c r="D368" s="6"/>
      <c r="E368" s="49" t="str">
        <f>IF(COUNTIF(AB_Table[Абревиатура],A368)&gt;1,"DOUBLE","")</f>
        <v/>
      </c>
    </row>
    <row r="369" spans="1:5" x14ac:dyDescent="0.25">
      <c r="A369" s="10" t="s">
        <v>135</v>
      </c>
      <c r="B369" s="5" t="s">
        <v>136</v>
      </c>
      <c r="C369" s="9"/>
      <c r="D369" s="9"/>
      <c r="E369" s="48" t="str">
        <f>IF(COUNTIF(AB_Table[Абревиатура],A369)&gt;1,"DOUBLE","")</f>
        <v/>
      </c>
    </row>
    <row r="370" spans="1:5" x14ac:dyDescent="0.25">
      <c r="A370" s="10" t="s">
        <v>894</v>
      </c>
      <c r="B370" s="5" t="s">
        <v>895</v>
      </c>
      <c r="C370" s="6"/>
      <c r="D370" s="6"/>
      <c r="E370" s="49" t="str">
        <f>IF(COUNTIF(AB_Table[Абревиатура],A370)&gt;1,"DOUBLE","")</f>
        <v/>
      </c>
    </row>
    <row r="371" spans="1:5" x14ac:dyDescent="0.25">
      <c r="A371" s="10" t="s">
        <v>301</v>
      </c>
      <c r="B371" s="5" t="s">
        <v>611</v>
      </c>
      <c r="C371" s="8"/>
      <c r="D371" s="8" t="s">
        <v>302</v>
      </c>
      <c r="E371" s="48" t="str">
        <f>IF(COUNTIF(AB_Table[Абревиатура],A371)&gt;1,"DOUBLE","")</f>
        <v/>
      </c>
    </row>
    <row r="372" spans="1:5" x14ac:dyDescent="0.25">
      <c r="A372" s="10" t="s">
        <v>331</v>
      </c>
      <c r="B372" s="5" t="s">
        <v>367</v>
      </c>
      <c r="C372" s="9"/>
      <c r="D372" s="9"/>
      <c r="E372" s="48" t="str">
        <f>IF(COUNTIF(AB_Table[Абревиатура],A372)&gt;1,"DOUBLE","")</f>
        <v/>
      </c>
    </row>
    <row r="373" spans="1:5" x14ac:dyDescent="0.25">
      <c r="A373" s="10" t="s">
        <v>668</v>
      </c>
      <c r="B373" s="57" t="s">
        <v>669</v>
      </c>
      <c r="C373" s="9"/>
      <c r="D373" s="9"/>
      <c r="E373" s="48" t="str">
        <f>IF(COUNTIF(AB_Table[Абревиатура],A373)&gt;1,"DOUBLE","")</f>
        <v/>
      </c>
    </row>
    <row r="374" spans="1:5" x14ac:dyDescent="0.25">
      <c r="A374" s="10" t="s">
        <v>896</v>
      </c>
      <c r="B374" s="5" t="s">
        <v>897</v>
      </c>
      <c r="C374" s="6"/>
      <c r="D374" s="6"/>
      <c r="E374" s="49" t="str">
        <f>IF(COUNTIF(AB_Table[Абревиатура],A374)&gt;1,"DOUBLE","")</f>
        <v/>
      </c>
    </row>
    <row r="375" spans="1:5" x14ac:dyDescent="0.25">
      <c r="A375" s="34" t="s">
        <v>502</v>
      </c>
      <c r="B375" s="14" t="s">
        <v>364</v>
      </c>
      <c r="C375" s="15"/>
      <c r="D375" s="15"/>
      <c r="E375" s="48" t="str">
        <f>IF(COUNTIF(AB_Table[Абревиатура],A375)&gt;1,"DOUBLE","")</f>
        <v/>
      </c>
    </row>
    <row r="376" spans="1:5" x14ac:dyDescent="0.25">
      <c r="A376" s="10" t="s">
        <v>405</v>
      </c>
      <c r="B376" s="46" t="s">
        <v>406</v>
      </c>
      <c r="C376" s="9"/>
      <c r="D376" s="9"/>
      <c r="E376" s="48" t="str">
        <f>IF(COUNTIF(AB_Table[Абревиатура],A376)&gt;1,"DOUBLE","")</f>
        <v/>
      </c>
    </row>
    <row r="377" spans="1:5" x14ac:dyDescent="0.25">
      <c r="A377" s="10" t="s">
        <v>148</v>
      </c>
      <c r="B377" s="5" t="s">
        <v>149</v>
      </c>
      <c r="C377" s="9"/>
      <c r="D377" s="9"/>
      <c r="E377" s="48" t="str">
        <f>IF(COUNTIF(AB_Table[Абревиатура],A377)&gt;1,"DOUBLE","")</f>
        <v/>
      </c>
    </row>
    <row r="378" spans="1:5" x14ac:dyDescent="0.25">
      <c r="A378" s="10" t="s">
        <v>348</v>
      </c>
      <c r="B378" s="46" t="s">
        <v>349</v>
      </c>
      <c r="C378" s="9"/>
      <c r="D378" s="9"/>
      <c r="E378" s="48" t="str">
        <f>IF(COUNTIF(AB_Table[Абревиатура],A378)&gt;1,"DOUBLE","")</f>
        <v/>
      </c>
    </row>
    <row r="379" spans="1:5" x14ac:dyDescent="0.25">
      <c r="A379" s="10" t="s">
        <v>150</v>
      </c>
      <c r="B379" s="46" t="s">
        <v>151</v>
      </c>
      <c r="C379" s="9"/>
      <c r="D379" s="9"/>
      <c r="E379" s="48" t="str">
        <f>IF(COUNTIF(AB_Table[Абревиатура],A379)&gt;1,"DOUBLE","")</f>
        <v/>
      </c>
    </row>
    <row r="380" spans="1:5" ht="24" x14ac:dyDescent="0.25">
      <c r="A380" s="10" t="s">
        <v>287</v>
      </c>
      <c r="B380" s="5"/>
      <c r="C380" s="8"/>
      <c r="D380" s="8" t="s">
        <v>288</v>
      </c>
      <c r="E380" s="48" t="str">
        <f>IF(COUNTIF(AB_Table[Абревиатура],A380)&gt;1,"DOUBLE","")</f>
        <v/>
      </c>
    </row>
    <row r="381" spans="1:5" x14ac:dyDescent="0.25">
      <c r="A381" s="10" t="s">
        <v>152</v>
      </c>
      <c r="B381" s="41" t="s">
        <v>714</v>
      </c>
      <c r="C381" s="9"/>
      <c r="D381" s="9"/>
      <c r="E381" s="48" t="str">
        <f>IF(COUNTIF(AB_Table[Абревиатура],A381)&gt;1,"DOUBLE","")</f>
        <v/>
      </c>
    </row>
    <row r="382" spans="1:5" x14ac:dyDescent="0.25">
      <c r="A382" s="10" t="s">
        <v>260</v>
      </c>
      <c r="B382" s="5"/>
      <c r="C382" s="8"/>
      <c r="D382" s="8" t="s">
        <v>261</v>
      </c>
      <c r="E382" s="48" t="str">
        <f>IF(COUNTIF(AB_Table[Абревиатура],A382)&gt;1,"DOUBLE","")</f>
        <v/>
      </c>
    </row>
    <row r="383" spans="1:5" x14ac:dyDescent="0.25">
      <c r="A383" s="10" t="s">
        <v>898</v>
      </c>
      <c r="B383" s="5" t="s">
        <v>899</v>
      </c>
      <c r="C383" s="6"/>
      <c r="D383" s="6"/>
      <c r="E383" s="49" t="str">
        <f>IF(COUNTIF(AB_Table[Абревиатура],A383)&gt;1,"DOUBLE","")</f>
        <v/>
      </c>
    </row>
    <row r="384" spans="1:5" x14ac:dyDescent="0.25">
      <c r="A384" s="10" t="s">
        <v>416</v>
      </c>
      <c r="B384" s="46" t="s">
        <v>417</v>
      </c>
      <c r="C384" s="9"/>
      <c r="D384" s="9"/>
      <c r="E384" s="48" t="str">
        <f>IF(COUNTIF(AB_Table[Абревиатура],A384)&gt;1,"DOUBLE","")</f>
        <v/>
      </c>
    </row>
    <row r="385" spans="1:5" x14ac:dyDescent="0.25">
      <c r="A385" s="10" t="s">
        <v>325</v>
      </c>
      <c r="B385" s="5"/>
      <c r="C385" s="8"/>
      <c r="D385" s="8"/>
      <c r="E385" s="48" t="str">
        <f>IF(COUNTIF(AB_Table[Абревиатура],A385)&gt;1,"DOUBLE","")</f>
        <v/>
      </c>
    </row>
    <row r="386" spans="1:5" x14ac:dyDescent="0.25">
      <c r="A386" s="10" t="s">
        <v>454</v>
      </c>
      <c r="B386" s="17" t="s">
        <v>154</v>
      </c>
      <c r="C386" s="9"/>
      <c r="D386" s="9"/>
      <c r="E386" s="48" t="str">
        <f>IF(COUNTIF(AB_Table[Абревиатура],A386)&gt;1,"DOUBLE","")</f>
        <v/>
      </c>
    </row>
    <row r="387" spans="1:5" ht="24" x14ac:dyDescent="0.25">
      <c r="A387" s="10" t="s">
        <v>900</v>
      </c>
      <c r="B387" s="5" t="s">
        <v>901</v>
      </c>
      <c r="C387" s="6"/>
      <c r="D387" s="6"/>
      <c r="E387" s="49" t="str">
        <f>IF(COUNTIF(AB_Table[Абревиатура],A387)&gt;1,"DOUBLE","")</f>
        <v/>
      </c>
    </row>
    <row r="388" spans="1:5" x14ac:dyDescent="0.25">
      <c r="A388" s="10" t="s">
        <v>153</v>
      </c>
      <c r="B388" s="5" t="s">
        <v>154</v>
      </c>
      <c r="C388" s="8"/>
      <c r="D388" s="8"/>
      <c r="E388" s="48" t="str">
        <f>IF(COUNTIF(AB_Table[Абревиатура],A388)&gt;1,"DOUBLE","")</f>
        <v/>
      </c>
    </row>
    <row r="389" spans="1:5" x14ac:dyDescent="0.25">
      <c r="A389" s="10" t="s">
        <v>343</v>
      </c>
      <c r="B389" s="5" t="s">
        <v>154</v>
      </c>
      <c r="C389" s="9"/>
      <c r="D389" s="9"/>
      <c r="E389" s="48" t="str">
        <f>IF(COUNTIF(AB_Table[Абревиатура],A389)&gt;1,"DOUBLE","")</f>
        <v/>
      </c>
    </row>
    <row r="390" spans="1:5" x14ac:dyDescent="0.25">
      <c r="A390" s="10" t="s">
        <v>368</v>
      </c>
      <c r="B390" s="5" t="s">
        <v>155</v>
      </c>
      <c r="C390" s="9"/>
      <c r="D390" s="9"/>
      <c r="E390" s="48" t="str">
        <f>IF(COUNTIF(AB_Table[Абревиатура],A390)&gt;1,"DOUBLE","")</f>
        <v/>
      </c>
    </row>
    <row r="391" spans="1:5" x14ac:dyDescent="0.25">
      <c r="A391" s="10" t="s">
        <v>481</v>
      </c>
      <c r="B391" s="5" t="s">
        <v>155</v>
      </c>
      <c r="C391" s="9"/>
      <c r="D391" s="9"/>
      <c r="E391" s="48" t="str">
        <f>IF(COUNTIF(AB_Table[Абревиатура],A391)&gt;1,"DOUBLE","")</f>
        <v/>
      </c>
    </row>
    <row r="392" spans="1:5" x14ac:dyDescent="0.25">
      <c r="A392" s="34" t="s">
        <v>503</v>
      </c>
      <c r="B392" s="5" t="s">
        <v>613</v>
      </c>
      <c r="C392" s="15"/>
      <c r="D392" s="15"/>
      <c r="E392" s="48" t="str">
        <f>IF(COUNTIF(AB_Table[Абревиатура],A392)&gt;1,"DOUBLE","")</f>
        <v/>
      </c>
    </row>
    <row r="393" spans="1:5" x14ac:dyDescent="0.25">
      <c r="A393" s="10" t="s">
        <v>320</v>
      </c>
      <c r="B393" s="5"/>
      <c r="C393" s="8"/>
      <c r="D393" s="8"/>
      <c r="E393" s="48" t="str">
        <f>IF(COUNTIF(AB_Table[Абревиатура],A393)&gt;1,"DOUBLE","")</f>
        <v/>
      </c>
    </row>
    <row r="394" spans="1:5" x14ac:dyDescent="0.25">
      <c r="A394" s="10" t="s">
        <v>357</v>
      </c>
      <c r="B394" s="5" t="s">
        <v>614</v>
      </c>
      <c r="C394" s="9"/>
      <c r="D394" s="9"/>
      <c r="E394" s="48" t="str">
        <f>IF(COUNTIF(AB_Table[Абревиатура],A394)&gt;1,"DOUBLE","")</f>
        <v/>
      </c>
    </row>
    <row r="395" spans="1:5" x14ac:dyDescent="0.25">
      <c r="A395" s="31" t="s">
        <v>737</v>
      </c>
      <c r="B395" s="24" t="s">
        <v>738</v>
      </c>
      <c r="C395" s="25"/>
      <c r="D395" s="25"/>
      <c r="E395" s="50" t="str">
        <f>IF(COUNTIF(AB_Table[Абревиатура],A395)&gt;1,"DOUBLE","")</f>
        <v/>
      </c>
    </row>
    <row r="396" spans="1:5" x14ac:dyDescent="0.25">
      <c r="A396" s="10" t="s">
        <v>634</v>
      </c>
      <c r="B396" s="5" t="s">
        <v>635</v>
      </c>
      <c r="C396" s="9"/>
      <c r="D396" s="9"/>
      <c r="E396" s="48" t="str">
        <f>IF(COUNTIF(AB_Table[Абревиатура],A396)&gt;1,"DOUBLE","")</f>
        <v/>
      </c>
    </row>
    <row r="397" spans="1:5" ht="24" x14ac:dyDescent="0.25">
      <c r="A397" s="31" t="s">
        <v>638</v>
      </c>
      <c r="B397" s="24" t="s">
        <v>666</v>
      </c>
      <c r="C397" s="25"/>
      <c r="D397" s="40" t="s">
        <v>665</v>
      </c>
      <c r="E397" s="48" t="str">
        <f>IF(COUNTIF(AB_Table[Абревиатура],A397)&gt;1,"DOUBLE","")</f>
        <v/>
      </c>
    </row>
    <row r="398" spans="1:5" x14ac:dyDescent="0.25">
      <c r="A398" s="10" t="s">
        <v>902</v>
      </c>
      <c r="B398" s="5" t="s">
        <v>773</v>
      </c>
      <c r="C398" s="6"/>
      <c r="D398" s="6"/>
      <c r="E398" s="49" t="str">
        <f>IF(COUNTIF(AB_Table[Абревиатура],A398)&gt;1,"DOUBLE","")</f>
        <v/>
      </c>
    </row>
    <row r="399" spans="1:5" x14ac:dyDescent="0.25">
      <c r="A399" s="60" t="s">
        <v>767</v>
      </c>
      <c r="B399" s="5" t="s">
        <v>932</v>
      </c>
      <c r="C399" s="6"/>
      <c r="D399" s="6"/>
      <c r="E399" s="49" t="str">
        <f>IF(COUNTIF(AB_Table[Абревиатура],A399)&gt;1,"DOUBLE","")</f>
        <v/>
      </c>
    </row>
    <row r="400" spans="1:5" x14ac:dyDescent="0.25">
      <c r="A400" s="10" t="s">
        <v>903</v>
      </c>
      <c r="B400" s="5" t="s">
        <v>904</v>
      </c>
      <c r="C400" s="6"/>
      <c r="D400" s="6"/>
      <c r="E400" s="49" t="str">
        <f>IF(COUNTIF(AB_Table[Абревиатура],A400)&gt;1,"DOUBLE","")</f>
        <v/>
      </c>
    </row>
    <row r="401" spans="1:5" x14ac:dyDescent="0.25">
      <c r="A401" s="10" t="s">
        <v>455</v>
      </c>
      <c r="B401" s="5" t="s">
        <v>615</v>
      </c>
      <c r="C401" s="8"/>
      <c r="D401" s="8" t="s">
        <v>249</v>
      </c>
      <c r="E401" s="48" t="str">
        <f>IF(COUNTIF(AB_Table[Абревиатура],A401)&gt;1,"DOUBLE","")</f>
        <v/>
      </c>
    </row>
    <row r="402" spans="1:5" x14ac:dyDescent="0.25">
      <c r="A402" s="10" t="s">
        <v>204</v>
      </c>
      <c r="B402" s="5" t="s">
        <v>203</v>
      </c>
      <c r="C402" s="9"/>
      <c r="D402" s="9"/>
      <c r="E402" s="48" t="str">
        <f>IF(COUNTIF(AB_Table[Абревиатура],A402)&gt;1,"DOUBLE","")</f>
        <v/>
      </c>
    </row>
    <row r="403" spans="1:5" x14ac:dyDescent="0.25">
      <c r="A403" s="29" t="s">
        <v>548</v>
      </c>
      <c r="B403" s="20" t="s">
        <v>549</v>
      </c>
      <c r="C403" s="21"/>
      <c r="D403" s="21"/>
      <c r="E403" s="48" t="str">
        <f>IF(COUNTIF(AB_Table[Абревиатура],A403)&gt;1,"DOUBLE","")</f>
        <v/>
      </c>
    </row>
    <row r="404" spans="1:5" x14ac:dyDescent="0.25">
      <c r="A404" s="10" t="s">
        <v>905</v>
      </c>
      <c r="B404" s="5" t="s">
        <v>906</v>
      </c>
      <c r="C404" s="6"/>
      <c r="D404" s="6"/>
      <c r="E404" s="49" t="str">
        <f>IF(COUNTIF(AB_Table[Абревиатура],A404)&gt;1,"DOUBLE","")</f>
        <v/>
      </c>
    </row>
    <row r="405" spans="1:5" x14ac:dyDescent="0.25">
      <c r="A405" s="10" t="s">
        <v>347</v>
      </c>
      <c r="B405" s="5" t="s">
        <v>372</v>
      </c>
      <c r="C405" s="9"/>
      <c r="D405" s="9"/>
      <c r="E405" s="48" t="str">
        <f>IF(COUNTIF(AB_Table[Абревиатура],A405)&gt;1,"DOUBLE","")</f>
        <v/>
      </c>
    </row>
    <row r="406" spans="1:5" x14ac:dyDescent="0.25">
      <c r="A406" s="10" t="s">
        <v>728</v>
      </c>
      <c r="B406" s="5" t="s">
        <v>756</v>
      </c>
      <c r="C406" s="9"/>
      <c r="D406" s="9"/>
      <c r="E406" s="50" t="str">
        <f>IF(COUNTIF(AB_Table[Абревиатура],A406)&gt;1,"DOUBLE","")</f>
        <v/>
      </c>
    </row>
    <row r="407" spans="1:5" x14ac:dyDescent="0.25">
      <c r="A407" s="10" t="s">
        <v>340</v>
      </c>
      <c r="B407" s="5"/>
      <c r="C407" s="8"/>
      <c r="D407" s="8"/>
      <c r="E407" s="48" t="str">
        <f>IF(COUNTIF(AB_Table[Абревиатура],A407)&gt;1,"DOUBLE","")</f>
        <v/>
      </c>
    </row>
    <row r="408" spans="1:5" x14ac:dyDescent="0.25">
      <c r="A408" s="10" t="s">
        <v>156</v>
      </c>
      <c r="B408" s="5" t="s">
        <v>157</v>
      </c>
      <c r="C408" s="9"/>
      <c r="D408" s="9"/>
      <c r="E408" s="48" t="str">
        <f>IF(COUNTIF(AB_Table[Абревиатура],A408)&gt;1,"DOUBLE","")</f>
        <v/>
      </c>
    </row>
    <row r="409" spans="1:5" x14ac:dyDescent="0.25">
      <c r="A409" s="10" t="s">
        <v>158</v>
      </c>
      <c r="B409" s="54" t="s">
        <v>159</v>
      </c>
      <c r="C409" s="9"/>
      <c r="D409" s="9"/>
      <c r="E409" s="48" t="str">
        <f>IF(COUNTIF(AB_Table[Абревиатура],A409)&gt;1,"DOUBLE","")</f>
        <v/>
      </c>
    </row>
    <row r="410" spans="1:5" x14ac:dyDescent="0.25">
      <c r="A410" s="10" t="s">
        <v>456</v>
      </c>
      <c r="B410" s="5" t="s">
        <v>496</v>
      </c>
      <c r="C410" s="9"/>
      <c r="D410" s="9" t="s">
        <v>497</v>
      </c>
      <c r="E410" s="48" t="str">
        <f>IF(COUNTIF(AB_Table[Абревиатура],A410)&gt;1,"DOUBLE","")</f>
        <v/>
      </c>
    </row>
    <row r="411" spans="1:5" x14ac:dyDescent="0.25">
      <c r="A411" s="10" t="s">
        <v>907</v>
      </c>
      <c r="B411" s="5" t="s">
        <v>908</v>
      </c>
      <c r="C411" s="6"/>
      <c r="D411" s="6"/>
      <c r="E411" s="49" t="str">
        <f>IF(COUNTIF(AB_Table[Абревиатура],A411)&gt;1,"DOUBLE","")</f>
        <v/>
      </c>
    </row>
    <row r="412" spans="1:5" x14ac:dyDescent="0.25">
      <c r="A412" s="10" t="s">
        <v>700</v>
      </c>
      <c r="B412" s="5" t="s">
        <v>706</v>
      </c>
      <c r="C412" s="9"/>
      <c r="D412" s="9"/>
      <c r="E412" s="50" t="str">
        <f>IF(COUNTIF(AB_Table[Абревиатура],A412)&gt;1,"DOUBLE","")</f>
        <v/>
      </c>
    </row>
    <row r="413" spans="1:5" x14ac:dyDescent="0.25">
      <c r="A413" s="10" t="s">
        <v>909</v>
      </c>
      <c r="B413" s="5" t="s">
        <v>910</v>
      </c>
      <c r="C413" s="6"/>
      <c r="D413" s="6"/>
      <c r="E413" s="49" t="str">
        <f>IF(COUNTIF(AB_Table[Абревиатура],A413)&gt;1,"DOUBLE","")</f>
        <v/>
      </c>
    </row>
    <row r="414" spans="1:5" x14ac:dyDescent="0.25">
      <c r="A414" s="10" t="s">
        <v>424</v>
      </c>
      <c r="B414" s="46" t="s">
        <v>425</v>
      </c>
      <c r="C414" s="9"/>
      <c r="D414" s="9"/>
      <c r="E414" s="48" t="str">
        <f>IF(COUNTIF(AB_Table[Абревиатура],A414)&gt;1,"DOUBLE","")</f>
        <v/>
      </c>
    </row>
    <row r="415" spans="1:5" x14ac:dyDescent="0.25">
      <c r="A415" s="10" t="s">
        <v>315</v>
      </c>
      <c r="B415" s="5"/>
      <c r="C415" s="8"/>
      <c r="D415" s="8"/>
      <c r="E415" s="48" t="str">
        <f>IF(COUNTIF(AB_Table[Абревиатура],A415)&gt;1,"DOUBLE","")</f>
        <v/>
      </c>
    </row>
    <row r="416" spans="1:5" x14ac:dyDescent="0.25">
      <c r="A416" s="10" t="s">
        <v>160</v>
      </c>
      <c r="B416" s="5" t="s">
        <v>161</v>
      </c>
      <c r="C416" s="9"/>
      <c r="D416" s="9"/>
      <c r="E416" s="48" t="str">
        <f>IF(COUNTIF(AB_Table[Абревиатура],A416)&gt;1,"DOUBLE","")</f>
        <v/>
      </c>
    </row>
    <row r="417" spans="1:5" x14ac:dyDescent="0.25">
      <c r="A417" s="10" t="s">
        <v>196</v>
      </c>
      <c r="B417" s="5" t="s">
        <v>667</v>
      </c>
      <c r="C417" s="9"/>
      <c r="D417" s="9" t="s">
        <v>590</v>
      </c>
      <c r="E417" s="48" t="str">
        <f>IF(COUNTIF(AB_Table[Абревиатура],A417)&gt;1,"DOUBLE","")</f>
        <v/>
      </c>
    </row>
    <row r="418" spans="1:5" x14ac:dyDescent="0.25">
      <c r="A418" s="10" t="s">
        <v>181</v>
      </c>
      <c r="B418" s="5" t="s">
        <v>667</v>
      </c>
      <c r="C418" s="9"/>
      <c r="D418" s="8" t="s">
        <v>209</v>
      </c>
      <c r="E418" s="48" t="str">
        <f>IF(COUNTIF(AB_Table[Абревиатура],A418)&gt;1,"DOUBLE","")</f>
        <v/>
      </c>
    </row>
    <row r="419" spans="1:5" x14ac:dyDescent="0.25">
      <c r="A419" s="10" t="s">
        <v>911</v>
      </c>
      <c r="B419" s="5" t="s">
        <v>912</v>
      </c>
      <c r="C419" s="6"/>
      <c r="D419" s="6"/>
      <c r="E419" s="49" t="str">
        <f>IF(COUNTIF(AB_Table[Абревиатура],A419)&gt;1,"DOUBLE","")</f>
        <v/>
      </c>
    </row>
    <row r="420" spans="1:5" x14ac:dyDescent="0.25">
      <c r="A420" s="10" t="s">
        <v>182</v>
      </c>
      <c r="B420" s="5" t="s">
        <v>208</v>
      </c>
      <c r="C420" s="8"/>
      <c r="D420" s="8" t="s">
        <v>209</v>
      </c>
      <c r="E420" s="48" t="str">
        <f>IF(COUNTIF(AB_Table[Абревиатура],A420)&gt;1,"DOUBLE","")</f>
        <v/>
      </c>
    </row>
    <row r="421" spans="1:5" x14ac:dyDescent="0.25">
      <c r="A421" s="31" t="s">
        <v>685</v>
      </c>
      <c r="B421" s="24" t="s">
        <v>691</v>
      </c>
      <c r="C421" s="25"/>
      <c r="D421" s="25"/>
      <c r="E421" s="48" t="str">
        <f>IF(COUNTIF(AB_Table[Абревиатура],A421)&gt;1,"DOUBLE","")</f>
        <v/>
      </c>
    </row>
    <row r="422" spans="1:5" x14ac:dyDescent="0.25">
      <c r="A422" s="10" t="s">
        <v>913</v>
      </c>
      <c r="B422" s="5" t="s">
        <v>914</v>
      </c>
      <c r="C422" s="6"/>
      <c r="D422" s="6"/>
      <c r="E422" s="49" t="str">
        <f>IF(COUNTIF(AB_Table[Абревиатура],A422)&gt;1,"DOUBLE","")</f>
        <v/>
      </c>
    </row>
    <row r="423" spans="1:5" x14ac:dyDescent="0.25">
      <c r="A423" s="10" t="s">
        <v>739</v>
      </c>
      <c r="B423" s="5" t="s">
        <v>915</v>
      </c>
      <c r="C423" s="6"/>
      <c r="D423" s="6"/>
      <c r="E423" s="49" t="str">
        <f>IF(COUNTIF(AB_Table[Абревиатура],A423)&gt;1,"DOUBLE","")</f>
        <v/>
      </c>
    </row>
    <row r="424" spans="1:5" x14ac:dyDescent="0.25">
      <c r="A424" s="10" t="s">
        <v>693</v>
      </c>
      <c r="B424" s="5" t="s">
        <v>695</v>
      </c>
      <c r="C424" s="9"/>
      <c r="D424" s="9"/>
      <c r="E424" s="50" t="str">
        <f>IF(COUNTIF(AB_Table[Абревиатура],A424)&gt;1,"DOUBLE","")</f>
        <v/>
      </c>
    </row>
    <row r="425" spans="1:5" x14ac:dyDescent="0.25">
      <c r="A425" s="10" t="s">
        <v>649</v>
      </c>
      <c r="B425" s="5" t="s">
        <v>650</v>
      </c>
      <c r="C425" s="9"/>
      <c r="D425" s="9"/>
      <c r="E425" s="48" t="str">
        <f>IF(COUNTIF(AB_Table[Абревиатура],A425)&gt;1,"DOUBLE","")</f>
        <v/>
      </c>
    </row>
    <row r="426" spans="1:5" x14ac:dyDescent="0.25">
      <c r="A426" s="10" t="s">
        <v>390</v>
      </c>
      <c r="B426" s="46" t="s">
        <v>391</v>
      </c>
      <c r="C426" s="9"/>
      <c r="D426" s="9"/>
      <c r="E426" s="48" t="str">
        <f>IF(COUNTIF(AB_Table[Абревиатура],A426)&gt;1,"DOUBLE","")</f>
        <v/>
      </c>
    </row>
    <row r="427" spans="1:5" x14ac:dyDescent="0.25">
      <c r="A427" s="10" t="s">
        <v>193</v>
      </c>
      <c r="B427" s="5" t="s">
        <v>352</v>
      </c>
      <c r="C427" s="9"/>
      <c r="D427" s="9"/>
      <c r="E427" s="48" t="str">
        <f>IF(COUNTIF(AB_Table[Абревиатура],A427)&gt;1,"DOUBLE","")</f>
        <v/>
      </c>
    </row>
    <row r="428" spans="1:5" x14ac:dyDescent="0.25">
      <c r="A428" s="10" t="s">
        <v>426</v>
      </c>
      <c r="B428" s="5" t="s">
        <v>162</v>
      </c>
      <c r="C428" s="8" t="s">
        <v>474</v>
      </c>
      <c r="D428" s="8" t="s">
        <v>475</v>
      </c>
      <c r="E428" s="48" t="str">
        <f>IF(COUNTIF(AB_Table[Абревиатура],A428)&gt;1,"DOUBLE","")</f>
        <v/>
      </c>
    </row>
    <row r="429" spans="1:5" x14ac:dyDescent="0.25">
      <c r="A429" s="10" t="s">
        <v>916</v>
      </c>
      <c r="B429" s="5" t="s">
        <v>162</v>
      </c>
      <c r="C429" s="6"/>
      <c r="D429" s="6"/>
      <c r="E429" s="49" t="str">
        <f>IF(COUNTIF(AB_Table[Абревиатура],A429)&gt;1,"DOUBLE","")</f>
        <v/>
      </c>
    </row>
    <row r="430" spans="1:5" x14ac:dyDescent="0.25">
      <c r="A430" s="10" t="s">
        <v>230</v>
      </c>
      <c r="B430" s="5"/>
      <c r="C430" s="8"/>
      <c r="D430" s="8" t="s">
        <v>231</v>
      </c>
      <c r="E430" s="48" t="str">
        <f>IF(COUNTIF(AB_Table[Абревиатура],A430)&gt;1,"DOUBLE","")</f>
        <v/>
      </c>
    </row>
    <row r="431" spans="1:5" x14ac:dyDescent="0.25">
      <c r="A431" s="10" t="s">
        <v>720</v>
      </c>
      <c r="B431" s="5" t="s">
        <v>748</v>
      </c>
      <c r="C431" s="6"/>
      <c r="D431" s="6"/>
      <c r="E431" s="49" t="str">
        <f>IF(COUNTIF(AB_Table[Абревиатура],A431)&gt;1,"DOUBLE","")</f>
        <v/>
      </c>
    </row>
    <row r="432" spans="1:5" x14ac:dyDescent="0.25">
      <c r="A432" s="10" t="s">
        <v>654</v>
      </c>
      <c r="B432" s="5" t="s">
        <v>655</v>
      </c>
      <c r="C432" s="9"/>
      <c r="D432" s="9"/>
      <c r="E432" s="48" t="str">
        <f>IF(COUNTIF(AB_Table[Абревиатура],A432)&gt;1,"DOUBLE","")</f>
        <v/>
      </c>
    </row>
    <row r="433" spans="1:5" x14ac:dyDescent="0.25">
      <c r="A433" s="10" t="s">
        <v>413</v>
      </c>
      <c r="B433" s="46" t="s">
        <v>414</v>
      </c>
      <c r="C433" s="9"/>
      <c r="D433" s="9"/>
      <c r="E433" s="48" t="str">
        <f>IF(COUNTIF(AB_Table[Абревиатура],A433)&gt;1,"DOUBLE","")</f>
        <v/>
      </c>
    </row>
    <row r="434" spans="1:5" x14ac:dyDescent="0.25">
      <c r="A434" s="10" t="s">
        <v>409</v>
      </c>
      <c r="B434" s="5" t="s">
        <v>410</v>
      </c>
      <c r="C434" s="6"/>
      <c r="D434" s="6"/>
      <c r="E434" s="49" t="str">
        <f>IF(COUNTIF(AB_Table[Абревиатура],A434)&gt;1,"DOUBLE","")</f>
        <v/>
      </c>
    </row>
    <row r="435" spans="1:5" x14ac:dyDescent="0.25">
      <c r="A435" s="10" t="s">
        <v>917</v>
      </c>
      <c r="B435" s="5" t="s">
        <v>918</v>
      </c>
      <c r="C435" s="6"/>
      <c r="D435" s="6"/>
      <c r="E435" s="49" t="str">
        <f>IF(COUNTIF(AB_Table[Абревиатура],A435)&gt;1,"DOUBLE","")</f>
        <v/>
      </c>
    </row>
    <row r="436" spans="1:5" x14ac:dyDescent="0.25">
      <c r="A436" s="10" t="s">
        <v>518</v>
      </c>
      <c r="B436" s="5" t="s">
        <v>519</v>
      </c>
      <c r="C436" s="9"/>
      <c r="D436" s="9"/>
      <c r="E436" s="48" t="str">
        <f>IF(COUNTIF(AB_Table[Абревиатура],A436)&gt;1,"DOUBLE","")</f>
        <v/>
      </c>
    </row>
    <row r="437" spans="1:5" x14ac:dyDescent="0.25">
      <c r="A437" s="10" t="s">
        <v>919</v>
      </c>
      <c r="B437" s="5" t="s">
        <v>920</v>
      </c>
      <c r="C437" s="6"/>
      <c r="D437" s="6"/>
      <c r="E437" s="49" t="str">
        <f>IF(COUNTIF(AB_Table[Абревиатура],A437)&gt;1,"DOUBLE","")</f>
        <v/>
      </c>
    </row>
    <row r="438" spans="1:5" x14ac:dyDescent="0.25">
      <c r="A438" s="10" t="s">
        <v>163</v>
      </c>
      <c r="B438" s="5" t="s">
        <v>164</v>
      </c>
      <c r="C438" s="8"/>
      <c r="D438" s="8"/>
      <c r="E438" s="48" t="str">
        <f>IF(COUNTIF(AB_Table[Абревиатура],A438)&gt;1,"DOUBLE","")</f>
        <v/>
      </c>
    </row>
    <row r="439" spans="1:5" x14ac:dyDescent="0.25">
      <c r="A439" s="10" t="s">
        <v>763</v>
      </c>
      <c r="B439" s="43" t="s">
        <v>764</v>
      </c>
      <c r="C439" s="9"/>
      <c r="D439" s="9"/>
      <c r="E439" s="50" t="str">
        <f>IF(COUNTIF(AB_Table[Абревиатура],A439)&gt;1,"DOUBLE","")</f>
        <v/>
      </c>
    </row>
    <row r="440" spans="1:5" x14ac:dyDescent="0.25">
      <c r="A440" s="10" t="s">
        <v>921</v>
      </c>
      <c r="B440" s="5" t="s">
        <v>922</v>
      </c>
      <c r="C440" s="6"/>
      <c r="D440" s="6"/>
      <c r="E440" s="49" t="str">
        <f>IF(COUNTIF(AB_Table[Абревиатура],A440)&gt;1,"DOUBLE","")</f>
        <v/>
      </c>
    </row>
    <row r="441" spans="1:5" x14ac:dyDescent="0.25">
      <c r="A441" s="10" t="s">
        <v>165</v>
      </c>
      <c r="B441" s="5" t="s">
        <v>923</v>
      </c>
      <c r="C441" s="8"/>
      <c r="D441" s="8" t="s">
        <v>310</v>
      </c>
      <c r="E441" s="48" t="str">
        <f>IF(COUNTIF(AB_Table[Абревиатура],A441)&gt;1,"DOUBLE","")</f>
        <v/>
      </c>
    </row>
    <row r="442" spans="1:5" x14ac:dyDescent="0.25">
      <c r="A442" s="10" t="s">
        <v>192</v>
      </c>
      <c r="B442" s="5" t="s">
        <v>225</v>
      </c>
      <c r="C442" s="8"/>
      <c r="D442" s="8" t="s">
        <v>226</v>
      </c>
      <c r="E442" s="48" t="str">
        <f>IF(COUNTIF(AB_Table[Абревиатура],A442)&gt;1,"DOUBLE","")</f>
        <v/>
      </c>
    </row>
    <row r="443" spans="1:5" x14ac:dyDescent="0.25">
      <c r="A443" s="10" t="s">
        <v>289</v>
      </c>
      <c r="B443" s="46" t="s">
        <v>576</v>
      </c>
      <c r="C443" s="9"/>
      <c r="D443" s="9"/>
      <c r="E443" s="48" t="str">
        <f>IF(COUNTIF(AB_Table[Абревиатура],A443)&gt;1,"DOUBLE","")</f>
        <v/>
      </c>
    </row>
    <row r="444" spans="1:5" x14ac:dyDescent="0.25">
      <c r="A444" s="10" t="s">
        <v>721</v>
      </c>
      <c r="B444" s="5" t="s">
        <v>752</v>
      </c>
      <c r="C444" s="6"/>
      <c r="D444" s="6"/>
      <c r="E444" s="49" t="str">
        <f>IF(COUNTIF(AB_Table[Абревиатура],A444)&gt;1,"DOUBLE","")</f>
        <v/>
      </c>
    </row>
    <row r="445" spans="1:5" x14ac:dyDescent="0.25">
      <c r="A445" s="10" t="s">
        <v>702</v>
      </c>
      <c r="B445" s="5"/>
      <c r="C445" s="9"/>
      <c r="D445" s="9" t="s">
        <v>703</v>
      </c>
      <c r="E445" s="50" t="str">
        <f>IF(COUNTIF(AB_Table[Абревиатура],A445)&gt;1,"DOUBLE","")</f>
        <v/>
      </c>
    </row>
    <row r="446" spans="1:5" x14ac:dyDescent="0.25">
      <c r="A446" s="10" t="s">
        <v>924</v>
      </c>
      <c r="B446" s="5" t="s">
        <v>925</v>
      </c>
      <c r="C446" s="6"/>
      <c r="D446" s="6"/>
      <c r="E446" s="49" t="str">
        <f>IF(COUNTIF(AB_Table[Абревиатура],A446)&gt;1,"DOUBLE","")</f>
        <v/>
      </c>
    </row>
    <row r="447" spans="1:5" x14ac:dyDescent="0.25">
      <c r="A447" s="17" t="s">
        <v>166</v>
      </c>
      <c r="B447" s="5" t="s">
        <v>167</v>
      </c>
      <c r="C447" s="9"/>
      <c r="D447" s="9"/>
      <c r="E447" s="48" t="str">
        <f>IF(COUNTIF(AB_Table[Абревиатура],A447)&gt;1,"DOUBLE","")</f>
        <v/>
      </c>
    </row>
    <row r="448" spans="1:5" x14ac:dyDescent="0.25">
      <c r="A448" s="17" t="s">
        <v>457</v>
      </c>
      <c r="B448" s="5" t="s">
        <v>681</v>
      </c>
      <c r="C448" s="9"/>
      <c r="D448" s="9" t="s">
        <v>680</v>
      </c>
      <c r="E448" s="48" t="str">
        <f>IF(COUNTIF(AB_Table[Абревиатура],A448)&gt;1,"DOUBLE","")</f>
        <v/>
      </c>
    </row>
    <row r="449" spans="1:5" x14ac:dyDescent="0.25">
      <c r="A449" s="17" t="s">
        <v>926</v>
      </c>
      <c r="B449" s="5" t="s">
        <v>927</v>
      </c>
      <c r="C449" s="6"/>
      <c r="D449" s="6"/>
      <c r="E449" s="49" t="str">
        <f>IF(COUNTIF(AB_Table[Абревиатура],A449)&gt;1,"DOUBLE","")</f>
        <v/>
      </c>
    </row>
    <row r="450" spans="1:5" x14ac:dyDescent="0.25">
      <c r="A450" s="10" t="s">
        <v>168</v>
      </c>
      <c r="B450" s="17" t="s">
        <v>169</v>
      </c>
      <c r="C450" s="9"/>
      <c r="D450" s="9"/>
      <c r="E450" s="48" t="str">
        <f>IF(COUNTIF(AB_Table[Абревиатура],A450)&gt;1,"DOUBLE","")</f>
        <v/>
      </c>
    </row>
    <row r="451" spans="1:5" x14ac:dyDescent="0.25">
      <c r="A451" s="10" t="s">
        <v>470</v>
      </c>
      <c r="B451" s="17" t="s">
        <v>612</v>
      </c>
      <c r="C451" s="8"/>
      <c r="D451" s="8" t="s">
        <v>471</v>
      </c>
      <c r="E451" s="48" t="str">
        <f>IF(COUNTIF(AB_Table[Абревиатура],A451)&gt;1,"DOUBLE","")</f>
        <v/>
      </c>
    </row>
    <row r="452" spans="1:5" x14ac:dyDescent="0.25">
      <c r="A452" s="31" t="s">
        <v>617</v>
      </c>
      <c r="B452" s="32" t="s">
        <v>621</v>
      </c>
      <c r="C452" s="25"/>
      <c r="D452" s="25"/>
      <c r="E452" s="48" t="str">
        <f>IF(COUNTIF(AB_Table[Абревиатура],A452)&gt;1,"DOUBLE","")</f>
        <v/>
      </c>
    </row>
    <row r="453" spans="1:5" x14ac:dyDescent="0.25">
      <c r="A453" s="10" t="s">
        <v>928</v>
      </c>
      <c r="B453" s="17" t="s">
        <v>929</v>
      </c>
      <c r="C453" s="6"/>
      <c r="D453" s="6"/>
      <c r="E453" s="49" t="str">
        <f>IF(COUNTIF(AB_Table[Абревиатура],A453)&gt;1,"DOUBLE","")</f>
        <v/>
      </c>
    </row>
    <row r="454" spans="1:5" x14ac:dyDescent="0.25">
      <c r="A454" s="10" t="s">
        <v>174</v>
      </c>
      <c r="B454" s="17" t="s">
        <v>175</v>
      </c>
      <c r="C454" s="9"/>
      <c r="D454" s="9"/>
      <c r="E454" s="48" t="str">
        <f>IF(COUNTIF(AB_Table[Абревиатура],A454)&gt;1,"DOUBLE","")</f>
        <v/>
      </c>
    </row>
    <row r="455" spans="1:5" x14ac:dyDescent="0.25">
      <c r="A455" s="10" t="s">
        <v>399</v>
      </c>
      <c r="B455" s="70" t="s">
        <v>400</v>
      </c>
      <c r="C455" s="12"/>
      <c r="D455" s="9" t="s">
        <v>574</v>
      </c>
      <c r="E455" s="48" t="str">
        <f>IF(COUNTIF(AB_Table[Абревиатура],A455)&gt;1,"DOUBLE","")</f>
        <v/>
      </c>
    </row>
    <row r="456" spans="1:5" x14ac:dyDescent="0.25">
      <c r="A456" s="10" t="s">
        <v>726</v>
      </c>
      <c r="B456" s="17" t="s">
        <v>750</v>
      </c>
      <c r="C456" s="6"/>
      <c r="D456" s="6"/>
      <c r="E456" s="49" t="str">
        <f>IF(COUNTIF(AB_Table[Абревиатура],A456)&gt;1,"DOUBLE","")</f>
        <v/>
      </c>
    </row>
    <row r="457" spans="1:5" x14ac:dyDescent="0.25">
      <c r="A457" s="10" t="s">
        <v>176</v>
      </c>
      <c r="B457" s="17" t="s">
        <v>177</v>
      </c>
      <c r="C457" s="9"/>
      <c r="D457" s="9"/>
      <c r="E457" s="48" t="str">
        <f>IF(COUNTIF(AB_Table[Абревиатура],A457)&gt;1,"DOUBLE","")</f>
        <v/>
      </c>
    </row>
    <row r="458" spans="1:5" x14ac:dyDescent="0.25">
      <c r="A458" s="10" t="s">
        <v>473</v>
      </c>
      <c r="B458" s="17" t="s">
        <v>472</v>
      </c>
      <c r="C458" s="8"/>
      <c r="D458" s="8"/>
      <c r="E458" s="48" t="str">
        <f>IF(COUNTIF(AB_Table[Абревиатура],A458)&gt;1,"DOUBLE","")</f>
        <v/>
      </c>
    </row>
  </sheetData>
  <hyperlinks>
    <hyperlink ref="B357" r:id="rId1" display="https://www.multitran.ru/c/m.exe?t=4221608_2_1&amp;s1=RFC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34998626667073579"/>
  </sheetPr>
  <dimension ref="A1:E190"/>
  <sheetViews>
    <sheetView workbookViewId="0">
      <selection activeCell="A190" sqref="A190"/>
    </sheetView>
  </sheetViews>
  <sheetFormatPr defaultRowHeight="15" x14ac:dyDescent="0.25"/>
  <cols>
    <col min="1" max="1" width="18.5703125" customWidth="1"/>
    <col min="2" max="2" width="27.140625" bestFit="1" customWidth="1"/>
    <col min="3" max="3" width="11" customWidth="1"/>
  </cols>
  <sheetData>
    <row r="1" spans="1:5" x14ac:dyDescent="0.25">
      <c r="A1" s="63" t="s">
        <v>1046</v>
      </c>
      <c r="B1" s="64" t="s">
        <v>948</v>
      </c>
      <c r="C1" t="s">
        <v>949</v>
      </c>
      <c r="E1" s="68" t="s">
        <v>1115</v>
      </c>
    </row>
    <row r="2" spans="1:5" x14ac:dyDescent="0.25">
      <c r="A2" s="47" t="s">
        <v>969</v>
      </c>
      <c r="B2" s="44" t="str">
        <f>IF(COUNTIF(AB_Table[],Table3[[#This Row],[Not Abbreviation]])&gt;0,VLOOKUP(Table3[[#This Row],[Not Abbreviation]],AB_Table[],2),"")</f>
        <v/>
      </c>
      <c r="C2" s="65" t="str">
        <f>IF(COUNTIF(Table3[Not Abbreviation],A2)&gt;1,"DOUBLE","")</f>
        <v/>
      </c>
    </row>
    <row r="3" spans="1:5" x14ac:dyDescent="0.25">
      <c r="A3" s="45" t="s">
        <v>1118</v>
      </c>
      <c r="B3" s="44" t="str">
        <f>IF(COUNTIF(AB_Table[],Table3[[#This Row],[Not Abbreviation]])&gt;0,VLOOKUP(Table3[[#This Row],[Not Abbreviation]],AB_Table[],2),"")</f>
        <v/>
      </c>
      <c r="C3" s="66" t="str">
        <f>IF(COUNTIF(Table3[Not Abbreviation],A3)&gt;1,"DOUBLE","")</f>
        <v/>
      </c>
    </row>
    <row r="4" spans="1:5" x14ac:dyDescent="0.25">
      <c r="A4" s="47" t="s">
        <v>1016</v>
      </c>
      <c r="B4" s="44" t="str">
        <f>IF(COUNTIF(AB_Table[],Table3[[#This Row],[Not Abbreviation]])&gt;0,VLOOKUP(Table3[[#This Row],[Not Abbreviation]],AB_Table[],2),"")</f>
        <v/>
      </c>
      <c r="C4" s="66" t="str">
        <f>IF(COUNTIF(Table3[Not Abbreviation],A4)&gt;1,"DOUBLE","")</f>
        <v/>
      </c>
    </row>
    <row r="5" spans="1:5" x14ac:dyDescent="0.25">
      <c r="A5" s="45" t="s">
        <v>1083</v>
      </c>
      <c r="B5" s="44" t="str">
        <f>IF(COUNTIF(AB_Table[],Table3[[#This Row],[Not Abbreviation]])&gt;0,VLOOKUP(Table3[[#This Row],[Not Abbreviation]],AB_Table[],2),"")</f>
        <v/>
      </c>
      <c r="C5" s="66" t="str">
        <f>IF(COUNTIF(Table3[Not Abbreviation],A5)&gt;1,"DOUBLE","")</f>
        <v/>
      </c>
    </row>
    <row r="6" spans="1:5" x14ac:dyDescent="0.25">
      <c r="A6" s="45" t="s">
        <v>968</v>
      </c>
      <c r="B6" s="44" t="str">
        <f>IF(COUNTIF(AB_Table[],Table3[[#This Row],[Not Abbreviation]])&gt;0,VLOOKUP(Table3[[#This Row],[Not Abbreviation]],AB_Table[],2),"")</f>
        <v/>
      </c>
      <c r="C6" s="66" t="str">
        <f>IF(COUNTIF(Table3[Not Abbreviation],A6)&gt;1,"DOUBLE","")</f>
        <v/>
      </c>
    </row>
    <row r="7" spans="1:5" x14ac:dyDescent="0.25">
      <c r="A7" s="45" t="s">
        <v>1112</v>
      </c>
      <c r="B7" s="44" t="str">
        <f>IF(COUNTIF(AB_Table[],Table3[[#This Row],[Not Abbreviation]])&gt;0,VLOOKUP(Table3[[#This Row],[Not Abbreviation]],AB_Table[],2),"")</f>
        <v/>
      </c>
      <c r="C7" s="65" t="str">
        <f>IF(COUNTIF(Table3[Not Abbreviation],A7)&gt;1,"DOUBLE","")</f>
        <v/>
      </c>
    </row>
    <row r="8" spans="1:5" x14ac:dyDescent="0.25">
      <c r="A8" s="45" t="s">
        <v>1085</v>
      </c>
      <c r="B8" s="44" t="str">
        <f>IF(COUNTIF(AB_Table[],Table3[[#This Row],[Not Abbreviation]])&gt;0,VLOOKUP(Table3[[#This Row],[Not Abbreviation]],AB_Table[],2),"")</f>
        <v/>
      </c>
      <c r="C8" s="66" t="str">
        <f>IF(COUNTIF(Table3[Not Abbreviation],A8)&gt;1,"DOUBLE","")</f>
        <v/>
      </c>
    </row>
    <row r="9" spans="1:5" x14ac:dyDescent="0.25">
      <c r="A9" s="45" t="s">
        <v>1019</v>
      </c>
      <c r="B9" s="44" t="str">
        <f>IF(COUNTIF(AB_Table[],Table3[[#This Row],[Not Abbreviation]])&gt;0,VLOOKUP(Table3[[#This Row],[Not Abbreviation]],AB_Table[],2),"")</f>
        <v/>
      </c>
      <c r="C9" s="66" t="str">
        <f>IF(COUNTIF(Table3[Not Abbreviation],A9)&gt;1,"DOUBLE","")</f>
        <v/>
      </c>
    </row>
    <row r="10" spans="1:5" x14ac:dyDescent="0.25">
      <c r="A10" s="45" t="s">
        <v>1014</v>
      </c>
      <c r="B10" s="44" t="str">
        <f>IF(COUNTIF(AB_Table[],Table3[[#This Row],[Not Abbreviation]])&gt;0,VLOOKUP(Table3[[#This Row],[Not Abbreviation]],AB_Table[],2),"")</f>
        <v/>
      </c>
      <c r="C10" s="66" t="str">
        <f>IF(COUNTIF(Table3[Not Abbreviation],A10)&gt;1,"DOUBLE","")</f>
        <v/>
      </c>
    </row>
    <row r="11" spans="1:5" x14ac:dyDescent="0.25">
      <c r="A11" s="47" t="s">
        <v>1026</v>
      </c>
      <c r="B11" s="44" t="str">
        <f>IF(COUNTIF(AB_Table[],Table3[[#This Row],[Not Abbreviation]])&gt;0,VLOOKUP(Table3[[#This Row],[Not Abbreviation]],AB_Table[],2),"")</f>
        <v/>
      </c>
      <c r="C11" s="66" t="str">
        <f>IF(COUNTIF(Table3[Not Abbreviation],A11)&gt;1,"DOUBLE","")</f>
        <v/>
      </c>
    </row>
    <row r="12" spans="1:5" x14ac:dyDescent="0.25">
      <c r="A12" s="47" t="s">
        <v>1078</v>
      </c>
      <c r="B12" s="44" t="str">
        <f>IF(COUNTIF(AB_Table[],Table3[[#This Row],[Not Abbreviation]])&gt;0,VLOOKUP(Table3[[#This Row],[Not Abbreviation]],AB_Table[],2),"")</f>
        <v/>
      </c>
      <c r="C12" s="65" t="str">
        <f>IF(COUNTIF(Table3[Not Abbreviation],A12)&gt;1,"DOUBLE","")</f>
        <v/>
      </c>
    </row>
    <row r="13" spans="1:5" x14ac:dyDescent="0.25">
      <c r="A13" s="45" t="s">
        <v>1055</v>
      </c>
      <c r="B13" s="44" t="str">
        <f>IF(COUNTIF(AB_Table[],Table3[[#This Row],[Not Abbreviation]])&gt;0,VLOOKUP(Table3[[#This Row],[Not Abbreviation]],AB_Table[],2),"")</f>
        <v/>
      </c>
      <c r="C13" s="66" t="str">
        <f>IF(COUNTIF(Table3[Not Abbreviation],A13)&gt;1,"DOUBLE","")</f>
        <v/>
      </c>
    </row>
    <row r="14" spans="1:5" x14ac:dyDescent="0.25">
      <c r="A14" s="45" t="s">
        <v>996</v>
      </c>
      <c r="B14" s="44" t="str">
        <f>IF(COUNTIF(AB_Table[],Table3[[#This Row],[Not Abbreviation]])&gt;0,VLOOKUP(Table3[[#This Row],[Not Abbreviation]],AB_Table[],2),"")</f>
        <v/>
      </c>
      <c r="C14" s="66" t="str">
        <f>IF(COUNTIF(Table3[Not Abbreviation],A14)&gt;1,"DOUBLE","")</f>
        <v/>
      </c>
    </row>
    <row r="15" spans="1:5" x14ac:dyDescent="0.25">
      <c r="A15" s="45" t="s">
        <v>1012</v>
      </c>
      <c r="B15" s="44" t="str">
        <f>IF(COUNTIF(AB_Table[],Table3[[#This Row],[Not Abbreviation]])&gt;0,VLOOKUP(Table3[[#This Row],[Not Abbreviation]],AB_Table[],2),"")</f>
        <v/>
      </c>
      <c r="C15" s="66" t="str">
        <f>IF(COUNTIF(Table3[Not Abbreviation],A15)&gt;1,"DOUBLE","")</f>
        <v/>
      </c>
    </row>
    <row r="16" spans="1:5" x14ac:dyDescent="0.25">
      <c r="A16" s="45" t="s">
        <v>1102</v>
      </c>
      <c r="B16" s="19" t="str">
        <f>IF(COUNTIF(AB_Table[],Table3[[#This Row],[Not Abbreviation]])&gt;0,VLOOKUP(Table3[[#This Row],[Not Abbreviation]],AB_Table[],2),"")</f>
        <v/>
      </c>
      <c r="C16" s="65" t="str">
        <f>IF(COUNTIF(Table3[Not Abbreviation],A16)&gt;1,"DOUBLE","")</f>
        <v/>
      </c>
    </row>
    <row r="17" spans="1:3" x14ac:dyDescent="0.25">
      <c r="A17" s="45" t="s">
        <v>1094</v>
      </c>
      <c r="B17" s="19" t="str">
        <f>IF(COUNTIF(AB_Table[],Table3[[#This Row],[Not Abbreviation]])&gt;0,VLOOKUP(Table3[[#This Row],[Not Abbreviation]],AB_Table[],2),"")</f>
        <v/>
      </c>
      <c r="C17" s="65" t="str">
        <f>IF(COUNTIF(Table3[Not Abbreviation],A17)&gt;1,"DOUBLE","")</f>
        <v/>
      </c>
    </row>
    <row r="18" spans="1:3" x14ac:dyDescent="0.25">
      <c r="A18" s="45" t="s">
        <v>1103</v>
      </c>
      <c r="B18" s="19" t="str">
        <f>IF(COUNTIF(AB_Table[],Table3[[#This Row],[Not Abbreviation]])&gt;0,VLOOKUP(Table3[[#This Row],[Not Abbreviation]],AB_Table[],2),"")</f>
        <v/>
      </c>
      <c r="C18" s="65" t="str">
        <f>IF(COUNTIF(Table3[Not Abbreviation],A18)&gt;1,"DOUBLE","")</f>
        <v/>
      </c>
    </row>
    <row r="19" spans="1:3" x14ac:dyDescent="0.25">
      <c r="A19" s="45" t="s">
        <v>935</v>
      </c>
      <c r="B19" s="19" t="str">
        <f>IF(COUNTIF(AB_Table[],Table3[[#This Row],[Not Abbreviation]])&gt;0,VLOOKUP(Table3[[#This Row],[Not Abbreviation]],AB_Table[],2),"")</f>
        <v/>
      </c>
      <c r="C19" s="65" t="str">
        <f>IF(COUNTIF(Table3[Not Abbreviation],A19)&gt;1,"DOUBLE","")</f>
        <v/>
      </c>
    </row>
    <row r="20" spans="1:3" x14ac:dyDescent="0.25">
      <c r="A20" s="45" t="s">
        <v>1109</v>
      </c>
      <c r="B20" s="19" t="str">
        <f>IF(COUNTIF(AB_Table[],Table3[[#This Row],[Not Abbreviation]])&gt;0,VLOOKUP(Table3[[#This Row],[Not Abbreviation]],AB_Table[],2),"")</f>
        <v/>
      </c>
      <c r="C20" s="65" t="str">
        <f>IF(COUNTIF(Table3[Not Abbreviation],A20)&gt;1,"DOUBLE","")</f>
        <v/>
      </c>
    </row>
    <row r="21" spans="1:3" x14ac:dyDescent="0.25">
      <c r="A21" s="45" t="s">
        <v>1091</v>
      </c>
      <c r="B21" s="19" t="str">
        <f>IF(COUNTIF(AB_Table[],Table3[[#This Row],[Not Abbreviation]])&gt;0,VLOOKUP(Table3[[#This Row],[Not Abbreviation]],AB_Table[],2),"")</f>
        <v/>
      </c>
      <c r="C21" s="65" t="str">
        <f>IF(COUNTIF(Table3[Not Abbreviation],A21)&gt;1,"DOUBLE","")</f>
        <v/>
      </c>
    </row>
    <row r="22" spans="1:3" x14ac:dyDescent="0.25">
      <c r="A22" s="45" t="s">
        <v>1079</v>
      </c>
      <c r="B22" s="44" t="str">
        <f>IF(COUNTIF(AB_Table[],Table3[[#This Row],[Not Abbreviation]])&gt;0,VLOOKUP(Table3[[#This Row],[Not Abbreviation]],AB_Table[],2),"")</f>
        <v/>
      </c>
      <c r="C22" s="65" t="str">
        <f>IF(COUNTIF(Table3[Not Abbreviation],A22)&gt;1,"DOUBLE","")</f>
        <v/>
      </c>
    </row>
    <row r="23" spans="1:3" x14ac:dyDescent="0.25">
      <c r="A23" s="45" t="s">
        <v>1021</v>
      </c>
      <c r="B23" s="19" t="str">
        <f>IF(COUNTIF(AB_Table[],Table3[[#This Row],[Not Abbreviation]])&gt;0,VLOOKUP(Table3[[#This Row],[Not Abbreviation]],AB_Table[],2),"")</f>
        <v/>
      </c>
      <c r="C23" s="66" t="str">
        <f>IF(COUNTIF(Table3[Not Abbreviation],A23)&gt;1,"DOUBLE","")</f>
        <v/>
      </c>
    </row>
    <row r="24" spans="1:3" x14ac:dyDescent="0.25">
      <c r="A24" s="45" t="s">
        <v>982</v>
      </c>
      <c r="B24" s="44" t="str">
        <f>IF(COUNTIF(AB_Table[],Table3[[#This Row],[Not Abbreviation]])&gt;0,VLOOKUP(Table3[[#This Row],[Not Abbreviation]],AB_Table[],2),"")</f>
        <v/>
      </c>
      <c r="C24" s="66" t="str">
        <f>IF(COUNTIF(Table3[Not Abbreviation],A24)&gt;1,"DOUBLE","")</f>
        <v/>
      </c>
    </row>
    <row r="25" spans="1:3" x14ac:dyDescent="0.25">
      <c r="A25" s="45" t="s">
        <v>1067</v>
      </c>
      <c r="B25" s="19" t="str">
        <f>IF(COUNTIF(AB_Table[],Table3[[#This Row],[Not Abbreviation]])&gt;0,VLOOKUP(Table3[[#This Row],[Not Abbreviation]],AB_Table[],2),"")</f>
        <v/>
      </c>
      <c r="C25" s="65" t="str">
        <f>IF(COUNTIF(Table3[Not Abbreviation],A25)&gt;1,"DOUBLE","")</f>
        <v/>
      </c>
    </row>
    <row r="26" spans="1:3" x14ac:dyDescent="0.25">
      <c r="A26" s="45" t="s">
        <v>1023</v>
      </c>
      <c r="B26" s="19" t="str">
        <f>IF(COUNTIF(AB_Table[],Table3[[#This Row],[Not Abbreviation]])&gt;0,VLOOKUP(Table3[[#This Row],[Not Abbreviation]],AB_Table[],2),"")</f>
        <v/>
      </c>
      <c r="C26" s="66" t="str">
        <f>IF(COUNTIF(Table3[Not Abbreviation],A26)&gt;1,"DOUBLE","")</f>
        <v/>
      </c>
    </row>
    <row r="27" spans="1:3" x14ac:dyDescent="0.25">
      <c r="A27" s="45" t="s">
        <v>1087</v>
      </c>
      <c r="B27" s="19" t="str">
        <f>IF(COUNTIF(AB_Table[],Table3[[#This Row],[Not Abbreviation]])&gt;0,VLOOKUP(Table3[[#This Row],[Not Abbreviation]],AB_Table[],2),"")</f>
        <v/>
      </c>
      <c r="C27" s="66" t="str">
        <f>IF(COUNTIF(Table3[Not Abbreviation],A27)&gt;1,"DOUBLE","")</f>
        <v/>
      </c>
    </row>
    <row r="28" spans="1:3" x14ac:dyDescent="0.25">
      <c r="A28" s="45" t="s">
        <v>1107</v>
      </c>
      <c r="B28" s="19" t="str">
        <f>IF(COUNTIF(AB_Table[],Table3[[#This Row],[Not Abbreviation]])&gt;0,VLOOKUP(Table3[[#This Row],[Not Abbreviation]],AB_Table[],2),"")</f>
        <v/>
      </c>
      <c r="C28" s="65" t="str">
        <f>IF(COUNTIF(Table3[Not Abbreviation],A28)&gt;1,"DOUBLE","")</f>
        <v/>
      </c>
    </row>
    <row r="29" spans="1:3" x14ac:dyDescent="0.25">
      <c r="A29" s="45" t="s">
        <v>1001</v>
      </c>
      <c r="B29" s="19" t="str">
        <f>IF(COUNTIF(AB_Table[],Table3[[#This Row],[Not Abbreviation]])&gt;0,VLOOKUP(Table3[[#This Row],[Not Abbreviation]],AB_Table[],2),"")</f>
        <v/>
      </c>
      <c r="C29" s="66" t="str">
        <f>IF(COUNTIF(Table3[Not Abbreviation],A29)&gt;1,"DOUBLE","")</f>
        <v/>
      </c>
    </row>
    <row r="30" spans="1:3" x14ac:dyDescent="0.25">
      <c r="A30" s="45" t="s">
        <v>1077</v>
      </c>
      <c r="B30" s="44" t="str">
        <f>IF(COUNTIF(AB_Table[],Table3[[#This Row],[Not Abbreviation]])&gt;0,VLOOKUP(Table3[[#This Row],[Not Abbreviation]],AB_Table[],2),"")</f>
        <v/>
      </c>
      <c r="C30" s="65" t="str">
        <f>IF(COUNTIF(Table3[Not Abbreviation],A30)&gt;1,"DOUBLE","")</f>
        <v/>
      </c>
    </row>
    <row r="31" spans="1:3" x14ac:dyDescent="0.25">
      <c r="A31" s="45" t="s">
        <v>1086</v>
      </c>
      <c r="B31" s="19" t="str">
        <f>IF(COUNTIF(AB_Table[],Table3[[#This Row],[Not Abbreviation]])&gt;0,VLOOKUP(Table3[[#This Row],[Not Abbreviation]],AB_Table[],2),"")</f>
        <v/>
      </c>
      <c r="C31" s="66" t="str">
        <f>IF(COUNTIF(Table3[Not Abbreviation],A31)&gt;1,"DOUBLE","")</f>
        <v/>
      </c>
    </row>
    <row r="32" spans="1:3" x14ac:dyDescent="0.25">
      <c r="A32" s="45" t="s">
        <v>934</v>
      </c>
      <c r="B32" s="44" t="str">
        <f>IF(COUNTIF(AB_Table[],Table3[[#This Row],[Not Abbreviation]])&gt;0,VLOOKUP(Table3[[#This Row],[Not Abbreviation]],AB_Table[],2),"")</f>
        <v/>
      </c>
      <c r="C32" s="65" t="str">
        <f>IF(COUNTIF(Table3[Not Abbreviation],A32)&gt;1,"DOUBLE","")</f>
        <v/>
      </c>
    </row>
    <row r="33" spans="1:3" x14ac:dyDescent="0.25">
      <c r="A33" s="45" t="s">
        <v>979</v>
      </c>
      <c r="B33" s="19" t="str">
        <f>IF(COUNTIF(AB_Table[],Table3[[#This Row],[Not Abbreviation]])&gt;0,VLOOKUP(Table3[[#This Row],[Not Abbreviation]],AB_Table[],2),"")</f>
        <v/>
      </c>
      <c r="C33" s="66" t="str">
        <f>IF(COUNTIF(Table3[Not Abbreviation],A33)&gt;1,"DOUBLE","")</f>
        <v/>
      </c>
    </row>
    <row r="34" spans="1:3" x14ac:dyDescent="0.25">
      <c r="A34" s="45" t="s">
        <v>999</v>
      </c>
      <c r="B34" s="19" t="str">
        <f>IF(COUNTIF(AB_Table[],Table3[[#This Row],[Not Abbreviation]])&gt;0,VLOOKUP(Table3[[#This Row],[Not Abbreviation]],AB_Table[],2),"")</f>
        <v/>
      </c>
      <c r="C34" s="66" t="str">
        <f>IF(COUNTIF(Table3[Not Abbreviation],A34)&gt;1,"DOUBLE","")</f>
        <v/>
      </c>
    </row>
    <row r="35" spans="1:3" x14ac:dyDescent="0.25">
      <c r="A35" s="45" t="s">
        <v>978</v>
      </c>
      <c r="B35" s="19" t="str">
        <f>IF(COUNTIF(AB_Table[],Table3[[#This Row],[Not Abbreviation]])&gt;0,VLOOKUP(Table3[[#This Row],[Not Abbreviation]],AB_Table[],2),"")</f>
        <v/>
      </c>
      <c r="C35" s="65" t="str">
        <f>IF(COUNTIF(Table3[Not Abbreviation],A35)&gt;1,"DOUBLE","")</f>
        <v/>
      </c>
    </row>
    <row r="36" spans="1:3" x14ac:dyDescent="0.25">
      <c r="A36" s="45" t="s">
        <v>965</v>
      </c>
      <c r="B36" s="19" t="str">
        <f>IF(COUNTIF(AB_Table[],Table3[[#This Row],[Not Abbreviation]])&gt;0,VLOOKUP(Table3[[#This Row],[Not Abbreviation]],AB_Table[],2),"")</f>
        <v/>
      </c>
      <c r="C36" s="66" t="str">
        <f>IF(COUNTIF(Table3[Not Abbreviation],A36)&gt;1,"DOUBLE","")</f>
        <v/>
      </c>
    </row>
    <row r="37" spans="1:3" x14ac:dyDescent="0.25">
      <c r="A37" s="45" t="s">
        <v>1056</v>
      </c>
      <c r="B37" s="19" t="str">
        <f>IF(COUNTIF(AB_Table[],Table3[[#This Row],[Not Abbreviation]])&gt;0,VLOOKUP(Table3[[#This Row],[Not Abbreviation]],AB_Table[],2),"")</f>
        <v/>
      </c>
      <c r="C37" s="66" t="str">
        <f>IF(COUNTIF(Table3[Not Abbreviation],A37)&gt;1,"DOUBLE","")</f>
        <v/>
      </c>
    </row>
    <row r="38" spans="1:3" x14ac:dyDescent="0.25">
      <c r="A38" s="45" t="s">
        <v>1035</v>
      </c>
      <c r="B38" s="19" t="str">
        <f>IF(COUNTIF(AB_Table[],Table3[[#This Row],[Not Abbreviation]])&gt;0,VLOOKUP(Table3[[#This Row],[Not Abbreviation]],AB_Table[],2),"")</f>
        <v/>
      </c>
      <c r="C38" s="66" t="str">
        <f>IF(COUNTIF(Table3[Not Abbreviation],A38)&gt;1,"DOUBLE","")</f>
        <v/>
      </c>
    </row>
    <row r="39" spans="1:3" x14ac:dyDescent="0.25">
      <c r="A39" s="45" t="s">
        <v>1009</v>
      </c>
      <c r="B39" s="19" t="str">
        <f>IF(COUNTIF(AB_Table[],Table3[[#This Row],[Not Abbreviation]])&gt;0,VLOOKUP(Table3[[#This Row],[Not Abbreviation]],AB_Table[],2),"")</f>
        <v/>
      </c>
      <c r="C39" s="66" t="str">
        <f>IF(COUNTIF(Table3[Not Abbreviation],A39)&gt;1,"DOUBLE","")</f>
        <v/>
      </c>
    </row>
    <row r="40" spans="1:3" x14ac:dyDescent="0.25">
      <c r="A40" s="45" t="s">
        <v>1044</v>
      </c>
      <c r="B40" s="19" t="str">
        <f>IF(COUNTIF(AB_Table[],Table3[[#This Row],[Not Abbreviation]])&gt;0,VLOOKUP(Table3[[#This Row],[Not Abbreviation]],AB_Table[],2),"")</f>
        <v/>
      </c>
      <c r="C40" s="66" t="str">
        <f>IF(COUNTIF(Table3[Not Abbreviation],A40)&gt;1,"DOUBLE","")</f>
        <v/>
      </c>
    </row>
    <row r="41" spans="1:3" x14ac:dyDescent="0.25">
      <c r="A41" s="45" t="s">
        <v>1101</v>
      </c>
      <c r="B41" s="19" t="str">
        <f>IF(COUNTIF(AB_Table[],Table3[[#This Row],[Not Abbreviation]])&gt;0,VLOOKUP(Table3[[#This Row],[Not Abbreviation]],AB_Table[],2),"")</f>
        <v/>
      </c>
      <c r="C41" s="65" t="str">
        <f>IF(COUNTIF(Table3[Not Abbreviation],A41)&gt;1,"DOUBLE","")</f>
        <v/>
      </c>
    </row>
    <row r="42" spans="1:3" x14ac:dyDescent="0.25">
      <c r="A42" s="45" t="s">
        <v>1093</v>
      </c>
      <c r="B42" s="19" t="str">
        <f>IF(COUNTIF(AB_Table[],Table3[[#This Row],[Not Abbreviation]])&gt;0,VLOOKUP(Table3[[#This Row],[Not Abbreviation]],AB_Table[],2),"")</f>
        <v/>
      </c>
      <c r="C42" s="65" t="str">
        <f>IF(COUNTIF(Table3[Not Abbreviation],A42)&gt;1,"DOUBLE","")</f>
        <v/>
      </c>
    </row>
    <row r="43" spans="1:3" x14ac:dyDescent="0.25">
      <c r="A43" s="45" t="s">
        <v>977</v>
      </c>
      <c r="B43" s="19" t="str">
        <f>IF(COUNTIF(AB_Table[],Table3[[#This Row],[Not Abbreviation]])&gt;0,VLOOKUP(Table3[[#This Row],[Not Abbreviation]],AB_Table[],2),"")</f>
        <v/>
      </c>
      <c r="C43" s="66" t="str">
        <f>IF(COUNTIF(Table3[Not Abbreviation],A43)&gt;1,"DOUBLE","")</f>
        <v/>
      </c>
    </row>
    <row r="44" spans="1:3" x14ac:dyDescent="0.25">
      <c r="A44" s="45" t="s">
        <v>1052</v>
      </c>
      <c r="B44" s="19" t="str">
        <f>IF(COUNTIF(AB_Table[],Table3[[#This Row],[Not Abbreviation]])&gt;0,VLOOKUP(Table3[[#This Row],[Not Abbreviation]],AB_Table[],2),"")</f>
        <v/>
      </c>
      <c r="C44" s="66" t="str">
        <f>IF(COUNTIF(Table3[Not Abbreviation],A44)&gt;1,"DOUBLE","")</f>
        <v/>
      </c>
    </row>
    <row r="45" spans="1:3" x14ac:dyDescent="0.25">
      <c r="A45" s="45" t="s">
        <v>1028</v>
      </c>
      <c r="B45" s="19" t="str">
        <f>IF(COUNTIF(AB_Table[],Table3[[#This Row],[Not Abbreviation]])&gt;0,VLOOKUP(Table3[[#This Row],[Not Abbreviation]],AB_Table[],2),"")</f>
        <v/>
      </c>
      <c r="C45" s="66" t="str">
        <f>IF(COUNTIF(Table3[Not Abbreviation],A45)&gt;1,"DOUBLE","")</f>
        <v/>
      </c>
    </row>
    <row r="46" spans="1:3" x14ac:dyDescent="0.25">
      <c r="A46" s="45" t="s">
        <v>1054</v>
      </c>
      <c r="B46" s="19" t="str">
        <f>IF(COUNTIF(AB_Table[],Table3[[#This Row],[Not Abbreviation]])&gt;0,VLOOKUP(Table3[[#This Row],[Not Abbreviation]],AB_Table[],2),"")</f>
        <v/>
      </c>
      <c r="C46" s="66" t="str">
        <f>IF(COUNTIF(Table3[Not Abbreviation],A46)&gt;1,"DOUBLE","")</f>
        <v/>
      </c>
    </row>
    <row r="47" spans="1:3" x14ac:dyDescent="0.25">
      <c r="A47" s="45" t="s">
        <v>967</v>
      </c>
      <c r="B47" s="19" t="str">
        <f>IF(COUNTIF(AB_Table[],Table3[[#This Row],[Not Abbreviation]])&gt;0,VLOOKUP(Table3[[#This Row],[Not Abbreviation]],AB_Table[],2),"")</f>
        <v/>
      </c>
      <c r="C47" s="66" t="str">
        <f>IF(COUNTIF(Table3[Not Abbreviation],A47)&gt;1,"DOUBLE","")</f>
        <v/>
      </c>
    </row>
    <row r="48" spans="1:3" x14ac:dyDescent="0.25">
      <c r="A48" s="45" t="s">
        <v>1075</v>
      </c>
      <c r="B48" s="19" t="str">
        <f>IF(COUNTIF(AB_Table[],Table3[[#This Row],[Not Abbreviation]])&gt;0,VLOOKUP(Table3[[#This Row],[Not Abbreviation]],AB_Table[],2),"")</f>
        <v/>
      </c>
      <c r="C48" s="65" t="str">
        <f>IF(COUNTIF(Table3[Not Abbreviation],A48)&gt;1,"DOUBLE","")</f>
        <v/>
      </c>
    </row>
    <row r="49" spans="1:3" x14ac:dyDescent="0.25">
      <c r="A49" s="45" t="s">
        <v>1025</v>
      </c>
      <c r="B49" s="19" t="str">
        <f>IF(COUNTIF(AB_Table[],Table3[[#This Row],[Not Abbreviation]])&gt;0,VLOOKUP(Table3[[#This Row],[Not Abbreviation]],AB_Table[],2),"")</f>
        <v/>
      </c>
      <c r="C49" s="66" t="str">
        <f>IF(COUNTIF(Table3[Not Abbreviation],A49)&gt;1,"DOUBLE","")</f>
        <v/>
      </c>
    </row>
    <row r="50" spans="1:3" x14ac:dyDescent="0.25">
      <c r="A50" s="45" t="s">
        <v>1128</v>
      </c>
      <c r="B50" s="19" t="str">
        <f>IF(COUNTIF(AB_Table[],Table3[[#This Row],[Not Abbreviation]])&gt;0,VLOOKUP(Table3[[#This Row],[Not Abbreviation]],AB_Table[],2),"")</f>
        <v/>
      </c>
      <c r="C50" s="65" t="str">
        <f>IF(COUNTIF(Table3[Not Abbreviation],A50)&gt;1,"DOUBLE","")</f>
        <v/>
      </c>
    </row>
    <row r="51" spans="1:3" x14ac:dyDescent="0.25">
      <c r="A51" s="45" t="s">
        <v>988</v>
      </c>
      <c r="B51" s="19" t="str">
        <f>IF(COUNTIF(AB_Table[],Table3[[#This Row],[Not Abbreviation]])&gt;0,VLOOKUP(Table3[[#This Row],[Not Abbreviation]],AB_Table[],2),"")</f>
        <v/>
      </c>
      <c r="C51" s="65" t="str">
        <f>IF(COUNTIF(Table3[Not Abbreviation],A51)&gt;1,"DOUBLE","")</f>
        <v/>
      </c>
    </row>
    <row r="52" spans="1:3" x14ac:dyDescent="0.25">
      <c r="A52" s="45" t="s">
        <v>960</v>
      </c>
      <c r="B52" s="19" t="str">
        <f>IF(COUNTIF(AB_Table[],Table3[[#This Row],[Not Abbreviation]])&gt;0,VLOOKUP(Table3[[#This Row],[Not Abbreviation]],AB_Table[],2),"")</f>
        <v/>
      </c>
      <c r="C52" s="66" t="str">
        <f>IF(COUNTIF(Table3[Not Abbreviation],A52)&gt;1,"DOUBLE","")</f>
        <v/>
      </c>
    </row>
    <row r="53" spans="1:3" x14ac:dyDescent="0.25">
      <c r="A53" s="45" t="s">
        <v>1017</v>
      </c>
      <c r="B53" s="19" t="str">
        <f>IF(COUNTIF(AB_Table[],Table3[[#This Row],[Not Abbreviation]])&gt;0,VLOOKUP(Table3[[#This Row],[Not Abbreviation]],AB_Table[],2),"")</f>
        <v>Decision Gate</v>
      </c>
      <c r="C53" s="66" t="str">
        <f>IF(COUNTIF(Table3[Not Abbreviation],A53)&gt;1,"DOUBLE","")</f>
        <v/>
      </c>
    </row>
    <row r="54" spans="1:3" x14ac:dyDescent="0.25">
      <c r="A54" s="45" t="s">
        <v>1038</v>
      </c>
      <c r="B54" s="19" t="str">
        <f>IF(COUNTIF(AB_Table[],Table3[[#This Row],[Not Abbreviation]])&gt;0,VLOOKUP(Table3[[#This Row],[Not Abbreviation]],AB_Table[],2),"")</f>
        <v/>
      </c>
      <c r="C54" s="66" t="str">
        <f>IF(COUNTIF(Table3[Not Abbreviation],A54)&gt;1,"DOUBLE","")</f>
        <v/>
      </c>
    </row>
    <row r="55" spans="1:3" x14ac:dyDescent="0.25">
      <c r="A55" s="45" t="s">
        <v>1090</v>
      </c>
      <c r="B55" s="19" t="str">
        <f>IF(COUNTIF(AB_Table[],Table3[[#This Row],[Not Abbreviation]])&gt;0,VLOOKUP(Table3[[#This Row],[Not Abbreviation]],AB_Table[],2),"")</f>
        <v/>
      </c>
      <c r="C55" s="65" t="str">
        <f>IF(COUNTIF(Table3[Not Abbreviation],A55)&gt;1,"DOUBLE","")</f>
        <v/>
      </c>
    </row>
    <row r="56" spans="1:3" x14ac:dyDescent="0.25">
      <c r="A56" s="45" t="s">
        <v>1068</v>
      </c>
      <c r="B56" s="19" t="str">
        <f>IF(COUNTIF(AB_Table[],Table3[[#This Row],[Not Abbreviation]])&gt;0,VLOOKUP(Table3[[#This Row],[Not Abbreviation]],AB_Table[],2),"")</f>
        <v/>
      </c>
      <c r="C56" s="65" t="str">
        <f>IF(COUNTIF(Table3[Not Abbreviation],A56)&gt;1,"DOUBLE","")</f>
        <v/>
      </c>
    </row>
    <row r="57" spans="1:3" x14ac:dyDescent="0.25">
      <c r="A57" s="47" t="s">
        <v>1041</v>
      </c>
      <c r="B57" s="44" t="str">
        <f>IF(COUNTIF(AB_Table[],Table3[[#This Row],[Not Abbreviation]])&gt;0,VLOOKUP(Table3[[#This Row],[Not Abbreviation]],AB_Table[],2),"")</f>
        <v/>
      </c>
      <c r="C57" s="66" t="str">
        <f>IF(COUNTIF(Table3[Not Abbreviation],A57)&gt;1,"DOUBLE","")</f>
        <v/>
      </c>
    </row>
    <row r="58" spans="1:3" x14ac:dyDescent="0.25">
      <c r="A58" s="45" t="s">
        <v>1061</v>
      </c>
      <c r="B58" s="19" t="str">
        <f>IF(COUNTIF(AB_Table[],Table3[[#This Row],[Not Abbreviation]])&gt;0,VLOOKUP(Table3[[#This Row],[Not Abbreviation]],AB_Table[],2),"")</f>
        <v/>
      </c>
      <c r="C58" s="66" t="str">
        <f>IF(COUNTIF(Table3[Not Abbreviation],A58)&gt;1,"DOUBLE","")</f>
        <v/>
      </c>
    </row>
    <row r="59" spans="1:3" x14ac:dyDescent="0.25">
      <c r="A59" s="45" t="s">
        <v>986</v>
      </c>
      <c r="B59" s="19" t="str">
        <f>IF(COUNTIF(AB_Table[],Table3[[#This Row],[Not Abbreviation]])&gt;0,VLOOKUP(Table3[[#This Row],[Not Abbreviation]],AB_Table[],2),"")</f>
        <v/>
      </c>
      <c r="C59" s="66" t="str">
        <f>IF(COUNTIF(Table3[Not Abbreviation],A59)&gt;1,"DOUBLE","")</f>
        <v/>
      </c>
    </row>
    <row r="60" spans="1:3" x14ac:dyDescent="0.25">
      <c r="A60" s="45" t="s">
        <v>943</v>
      </c>
      <c r="B60" s="19" t="str">
        <f>IF(COUNTIF(AB_Table[],Table3[[#This Row],[Not Abbreviation]])&gt;0,VLOOKUP(Table3[[#This Row],[Not Abbreviation]],AB_Table[],2),"")</f>
        <v/>
      </c>
      <c r="C60" s="65" t="str">
        <f>IF(COUNTIF(Table3[Not Abbreviation],A60)&gt;1,"DOUBLE","")</f>
        <v/>
      </c>
    </row>
    <row r="61" spans="1:3" x14ac:dyDescent="0.25">
      <c r="A61" s="45" t="s">
        <v>1018</v>
      </c>
      <c r="B61" s="19" t="str">
        <f>IF(COUNTIF(AB_Table[],Table3[[#This Row],[Not Abbreviation]])&gt;0,VLOOKUP(Table3[[#This Row],[Not Abbreviation]],AB_Table[],2),"")</f>
        <v/>
      </c>
      <c r="C61" s="66" t="str">
        <f>IF(COUNTIF(Table3[Not Abbreviation],A61)&gt;1,"DOUBLE","")</f>
        <v/>
      </c>
    </row>
    <row r="62" spans="1:3" x14ac:dyDescent="0.25">
      <c r="A62" s="45" t="s">
        <v>1058</v>
      </c>
      <c r="B62" s="19" t="str">
        <f>IF(COUNTIF(AB_Table[],Table3[[#This Row],[Not Abbreviation]])&gt;0,VLOOKUP(Table3[[#This Row],[Not Abbreviation]],AB_Table[],2),"")</f>
        <v/>
      </c>
      <c r="C62" s="66" t="str">
        <f>IF(COUNTIF(Table3[Not Abbreviation],A62)&gt;1,"DOUBLE","")</f>
        <v/>
      </c>
    </row>
    <row r="63" spans="1:3" x14ac:dyDescent="0.25">
      <c r="A63" s="45" t="s">
        <v>942</v>
      </c>
      <c r="B63" s="19" t="str">
        <f>IF(COUNTIF(AB_Table[],Table3[[#This Row],[Not Abbreviation]])&gt;0,VLOOKUP(Table3[[#This Row],[Not Abbreviation]],AB_Table[],2),"")</f>
        <v/>
      </c>
      <c r="C63" s="65" t="str">
        <f>IF(COUNTIF(Table3[Not Abbreviation],A63)&gt;1,"DOUBLE","")</f>
        <v/>
      </c>
    </row>
    <row r="64" spans="1:3" x14ac:dyDescent="0.25">
      <c r="A64" s="45" t="s">
        <v>1117</v>
      </c>
      <c r="B64" s="19" t="str">
        <f>IF(COUNTIF(AB_Table[],Table3[[#This Row],[Not Abbreviation]])&gt;0,VLOOKUP(Table3[[#This Row],[Not Abbreviation]],AB_Table[],2),"")</f>
        <v/>
      </c>
      <c r="C64" s="65" t="str">
        <f>IF(COUNTIF(Table3[Not Abbreviation],A64)&gt;1,"DOUBLE","")</f>
        <v/>
      </c>
    </row>
    <row r="65" spans="1:3" x14ac:dyDescent="0.25">
      <c r="A65" s="45" t="s">
        <v>944</v>
      </c>
      <c r="B65" s="19" t="str">
        <f>IF(COUNTIF(AB_Table[],Table3[[#This Row],[Not Abbreviation]])&gt;0,VLOOKUP(Table3[[#This Row],[Not Abbreviation]],AB_Table[],2),"")</f>
        <v/>
      </c>
      <c r="C65" s="65" t="str">
        <f>IF(COUNTIF(Table3[Not Abbreviation],A65)&gt;1,"DOUBLE","")</f>
        <v/>
      </c>
    </row>
    <row r="66" spans="1:3" x14ac:dyDescent="0.25">
      <c r="A66" s="45" t="s">
        <v>994</v>
      </c>
      <c r="B66" s="19" t="str">
        <f>IF(COUNTIF(AB_Table[],Table3[[#This Row],[Not Abbreviation]])&gt;0,VLOOKUP(Table3[[#This Row],[Not Abbreviation]],AB_Table[],2),"")</f>
        <v/>
      </c>
      <c r="C66" s="66" t="str">
        <f>IF(COUNTIF(Table3[Not Abbreviation],A66)&gt;1,"DOUBLE","")</f>
        <v/>
      </c>
    </row>
    <row r="67" spans="1:3" x14ac:dyDescent="0.25">
      <c r="A67" s="45" t="s">
        <v>958</v>
      </c>
      <c r="B67" s="19" t="str">
        <f>IF(COUNTIF(AB_Table[],Table3[[#This Row],[Not Abbreviation]])&gt;0,VLOOKUP(Table3[[#This Row],[Not Abbreviation]],AB_Table[],2),"")</f>
        <v/>
      </c>
      <c r="C67" s="66" t="str">
        <f>IF(COUNTIF(Table3[Not Abbreviation],A67)&gt;1,"DOUBLE","")</f>
        <v/>
      </c>
    </row>
    <row r="68" spans="1:3" x14ac:dyDescent="0.25">
      <c r="A68" s="45" t="s">
        <v>1015</v>
      </c>
      <c r="B68" s="19" t="str">
        <f>IF(COUNTIF(AB_Table[],Table3[[#This Row],[Not Abbreviation]])&gt;0,VLOOKUP(Table3[[#This Row],[Not Abbreviation]],AB_Table[],2),"")</f>
        <v/>
      </c>
      <c r="C68" s="66" t="str">
        <f>IF(COUNTIF(Table3[Not Abbreviation],A68)&gt;1,"DOUBLE","")</f>
        <v/>
      </c>
    </row>
    <row r="69" spans="1:3" x14ac:dyDescent="0.25">
      <c r="A69" s="45" t="s">
        <v>1133</v>
      </c>
      <c r="B69" s="19" t="str">
        <f>IF(COUNTIF(AB_Table[],Table3[[#This Row],[Not Abbreviation]])&gt;0,VLOOKUP(Table3[[#This Row],[Not Abbreviation]],AB_Table[],2),"")</f>
        <v/>
      </c>
      <c r="C69" s="65" t="str">
        <f>IF(COUNTIF(Table3[Not Abbreviation],A69)&gt;1,"DOUBLE","")</f>
        <v/>
      </c>
    </row>
    <row r="70" spans="1:3" x14ac:dyDescent="0.25">
      <c r="A70" s="45" t="s">
        <v>1088</v>
      </c>
      <c r="B70" s="19" t="str">
        <f>IF(COUNTIF(AB_Table[],Table3[[#This Row],[Not Abbreviation]])&gt;0,VLOOKUP(Table3[[#This Row],[Not Abbreviation]],AB_Table[],2),"")</f>
        <v/>
      </c>
      <c r="C70" s="65" t="str">
        <f>IF(COUNTIF(Table3[Not Abbreviation],A70)&gt;1,"DOUBLE","")</f>
        <v/>
      </c>
    </row>
    <row r="71" spans="1:3" x14ac:dyDescent="0.25">
      <c r="A71" s="45" t="s">
        <v>1125</v>
      </c>
      <c r="B71" s="19" t="str">
        <f>IF(COUNTIF(AB_Table[],Table3[[#This Row],[Not Abbreviation]])&gt;0,VLOOKUP(Table3[[#This Row],[Not Abbreviation]],AB_Table[],2),"")</f>
        <v/>
      </c>
      <c r="C71" s="65" t="str">
        <f>IF(COUNTIF(Table3[Not Abbreviation],A71)&gt;1,"DOUBLE","")</f>
        <v/>
      </c>
    </row>
    <row r="72" spans="1:3" x14ac:dyDescent="0.25">
      <c r="A72" s="45" t="s">
        <v>1043</v>
      </c>
      <c r="B72" s="19" t="str">
        <f>IF(COUNTIF(AB_Table[],Table3[[#This Row],[Not Abbreviation]])&gt;0,VLOOKUP(Table3[[#This Row],[Not Abbreviation]],AB_Table[],2),"")</f>
        <v/>
      </c>
      <c r="C72" s="66" t="str">
        <f>IF(COUNTIF(Table3[Not Abbreviation],A72)&gt;1,"DOUBLE","")</f>
        <v/>
      </c>
    </row>
    <row r="73" spans="1:3" x14ac:dyDescent="0.25">
      <c r="A73" s="47" t="s">
        <v>983</v>
      </c>
      <c r="B73" s="44" t="str">
        <f>IF(COUNTIF(AB_Table[],Table3[[#This Row],[Not Abbreviation]])&gt;0,VLOOKUP(Table3[[#This Row],[Not Abbreviation]],AB_Table[],2),"")</f>
        <v/>
      </c>
      <c r="C73" s="66" t="str">
        <f>IF(COUNTIF(Table3[Not Abbreviation],A73)&gt;1,"DOUBLE","")</f>
        <v/>
      </c>
    </row>
    <row r="74" spans="1:3" x14ac:dyDescent="0.25">
      <c r="A74" s="47" t="s">
        <v>1082</v>
      </c>
      <c r="B74" s="44" t="str">
        <f>IF(COUNTIF(AB_Table[],Table3[[#This Row],[Not Abbreviation]])&gt;0,VLOOKUP(Table3[[#This Row],[Not Abbreviation]],AB_Table[],2),"")</f>
        <v/>
      </c>
      <c r="C74" s="66" t="str">
        <f>IF(COUNTIF(Table3[Not Abbreviation],A74)&gt;1,"DOUBLE","")</f>
        <v/>
      </c>
    </row>
    <row r="75" spans="1:3" x14ac:dyDescent="0.25">
      <c r="A75" s="45" t="s">
        <v>962</v>
      </c>
      <c r="B75" s="19" t="str">
        <f>IF(COUNTIF(AB_Table[],Table3[[#This Row],[Not Abbreviation]])&gt;0,VLOOKUP(Table3[[#This Row],[Not Abbreviation]],AB_Table[],2),"")</f>
        <v/>
      </c>
      <c r="C75" s="66" t="str">
        <f>IF(COUNTIF(Table3[Not Abbreviation],A75)&gt;1,"DOUBLE","")</f>
        <v/>
      </c>
    </row>
    <row r="76" spans="1:3" x14ac:dyDescent="0.25">
      <c r="A76" s="45" t="s">
        <v>1037</v>
      </c>
      <c r="B76" s="19" t="str">
        <f>IF(COUNTIF(AB_Table[],Table3[[#This Row],[Not Abbreviation]])&gt;0,VLOOKUP(Table3[[#This Row],[Not Abbreviation]],AB_Table[],2),"")</f>
        <v/>
      </c>
      <c r="C76" s="65" t="str">
        <f>IF(COUNTIF(Table3[Not Abbreviation],A76)&gt;1,"DOUBLE","")</f>
        <v/>
      </c>
    </row>
    <row r="77" spans="1:3" x14ac:dyDescent="0.25">
      <c r="A77" s="45" t="s">
        <v>1057</v>
      </c>
      <c r="B77" s="19" t="str">
        <f>IF(COUNTIF(AB_Table[],Table3[[#This Row],[Not Abbreviation]])&gt;0,VLOOKUP(Table3[[#This Row],[Not Abbreviation]],AB_Table[],2),"")</f>
        <v/>
      </c>
      <c r="C77" s="65" t="str">
        <f>IF(COUNTIF(Table3[Not Abbreviation],A77)&gt;1,"DOUBLE","")</f>
        <v/>
      </c>
    </row>
    <row r="78" spans="1:3" x14ac:dyDescent="0.25">
      <c r="A78" s="45" t="s">
        <v>1121</v>
      </c>
      <c r="B78" s="19" t="str">
        <f>IF(COUNTIF(AB_Table[],Table3[[#This Row],[Not Abbreviation]])&gt;0,VLOOKUP(Table3[[#This Row],[Not Abbreviation]],AB_Table[],2),"")</f>
        <v/>
      </c>
      <c r="C78" s="65" t="str">
        <f>IF(COUNTIF(Table3[Not Abbreviation],A78)&gt;1,"DOUBLE","")</f>
        <v/>
      </c>
    </row>
    <row r="79" spans="1:3" x14ac:dyDescent="0.25">
      <c r="A79" s="45" t="s">
        <v>1095</v>
      </c>
      <c r="B79" s="19" t="str">
        <f>IF(COUNTIF(AB_Table[],Table3[[#This Row],[Not Abbreviation]])&gt;0,VLOOKUP(Table3[[#This Row],[Not Abbreviation]],AB_Table[],2),"")</f>
        <v/>
      </c>
      <c r="C79" s="65" t="str">
        <f>IF(COUNTIF(Table3[Not Abbreviation],A79)&gt;1,"DOUBLE","")</f>
        <v/>
      </c>
    </row>
    <row r="80" spans="1:3" x14ac:dyDescent="0.25">
      <c r="A80" s="45" t="s">
        <v>975</v>
      </c>
      <c r="B80" s="19" t="str">
        <f>IF(COUNTIF(AB_Table[],Table3[[#This Row],[Not Abbreviation]])&gt;0,VLOOKUP(Table3[[#This Row],[Not Abbreviation]],AB_Table[],2),"")</f>
        <v/>
      </c>
      <c r="C80" s="66" t="str">
        <f>IF(COUNTIF(Table3[Not Abbreviation],A80)&gt;1,"DOUBLE","")</f>
        <v/>
      </c>
    </row>
    <row r="81" spans="1:3" x14ac:dyDescent="0.25">
      <c r="A81" s="45" t="s">
        <v>1010</v>
      </c>
      <c r="B81" s="19" t="str">
        <f>IF(COUNTIF(AB_Table[],Table3[[#This Row],[Not Abbreviation]])&gt;0,VLOOKUP(Table3[[#This Row],[Not Abbreviation]],AB_Table[],2),"")</f>
        <v/>
      </c>
      <c r="C81" s="66" t="str">
        <f>IF(COUNTIF(Table3[Not Abbreviation],A81)&gt;1,"DOUBLE","")</f>
        <v/>
      </c>
    </row>
    <row r="82" spans="1:3" x14ac:dyDescent="0.25">
      <c r="A82" s="47" t="s">
        <v>1027</v>
      </c>
      <c r="B82" s="44" t="str">
        <f>IF(COUNTIF(AB_Table[],Table3[[#This Row],[Not Abbreviation]])&gt;0,VLOOKUP(Table3[[#This Row],[Not Abbreviation]],AB_Table[],2),"")</f>
        <v/>
      </c>
      <c r="C82" s="66" t="str">
        <f>IF(COUNTIF(Table3[Not Abbreviation],A82)&gt;1,"DOUBLE","")</f>
        <v/>
      </c>
    </row>
    <row r="83" spans="1:3" x14ac:dyDescent="0.25">
      <c r="A83" s="45" t="s">
        <v>1069</v>
      </c>
      <c r="B83" s="19" t="str">
        <f>IF(COUNTIF(AB_Table[],Table3[[#This Row],[Not Abbreviation]])&gt;0,VLOOKUP(Table3[[#This Row],[Not Abbreviation]],AB_Table[],2),"")</f>
        <v/>
      </c>
      <c r="C83" s="65" t="str">
        <f>IF(COUNTIF(Table3[Not Abbreviation],A83)&gt;1,"DOUBLE","")</f>
        <v/>
      </c>
    </row>
    <row r="84" spans="1:3" x14ac:dyDescent="0.25">
      <c r="A84" s="45" t="s">
        <v>1071</v>
      </c>
      <c r="B84" s="19" t="str">
        <f>IF(COUNTIF(AB_Table[],Table3[[#This Row],[Not Abbreviation]])&gt;0,VLOOKUP(Table3[[#This Row],[Not Abbreviation]],AB_Table[],2),"")</f>
        <v/>
      </c>
      <c r="C84" s="65" t="str">
        <f>IF(COUNTIF(Table3[Not Abbreviation],A84)&gt;1,"DOUBLE","")</f>
        <v/>
      </c>
    </row>
    <row r="85" spans="1:3" x14ac:dyDescent="0.25">
      <c r="A85" s="45" t="s">
        <v>966</v>
      </c>
      <c r="B85" s="19" t="str">
        <f>IF(COUNTIF(AB_Table[],Table3[[#This Row],[Not Abbreviation]])&gt;0,VLOOKUP(Table3[[#This Row],[Not Abbreviation]],AB_Table[],2),"")</f>
        <v/>
      </c>
      <c r="C85" s="66" t="str">
        <f>IF(COUNTIF(Table3[Not Abbreviation],A85)&gt;1,"DOUBLE","")</f>
        <v/>
      </c>
    </row>
    <row r="86" spans="1:3" x14ac:dyDescent="0.25">
      <c r="A86" s="45" t="s">
        <v>940</v>
      </c>
      <c r="B86" s="19" t="str">
        <f>IF(COUNTIF(AB_Table[],Table3[[#This Row],[Not Abbreviation]])&gt;0,VLOOKUP(Table3[[#This Row],[Not Abbreviation]],AB_Table[],2),"")</f>
        <v/>
      </c>
      <c r="C86" s="65" t="str">
        <f>IF(COUNTIF(Table3[Not Abbreviation],A86)&gt;1,"DOUBLE","")</f>
        <v/>
      </c>
    </row>
    <row r="87" spans="1:3" x14ac:dyDescent="0.25">
      <c r="A87" s="45" t="s">
        <v>959</v>
      </c>
      <c r="B87" s="19" t="str">
        <f>IF(COUNTIF(AB_Table[],Table3[[#This Row],[Not Abbreviation]])&gt;0,VLOOKUP(Table3[[#This Row],[Not Abbreviation]],AB_Table[],2),"")</f>
        <v/>
      </c>
      <c r="C87" s="65" t="str">
        <f>IF(COUNTIF(Table3[Not Abbreviation],A87)&gt;1,"DOUBLE","")</f>
        <v/>
      </c>
    </row>
    <row r="88" spans="1:3" x14ac:dyDescent="0.25">
      <c r="A88" s="45" t="s">
        <v>1036</v>
      </c>
      <c r="B88" s="19" t="str">
        <f>IF(COUNTIF(AB_Table[],Table3[[#This Row],[Not Abbreviation]])&gt;0,VLOOKUP(Table3[[#This Row],[Not Abbreviation]],AB_Table[],2),"")</f>
        <v/>
      </c>
      <c r="C88" s="66" t="str">
        <f>IF(COUNTIF(Table3[Not Abbreviation],A88)&gt;1,"DOUBLE","")</f>
        <v/>
      </c>
    </row>
    <row r="89" spans="1:3" x14ac:dyDescent="0.25">
      <c r="A89" s="45" t="s">
        <v>974</v>
      </c>
      <c r="B89" s="19" t="str">
        <f>IF(COUNTIF(AB_Table[],Table3[[#This Row],[Not Abbreviation]])&gt;0,VLOOKUP(Table3[[#This Row],[Not Abbreviation]],AB_Table[],2),"")</f>
        <v/>
      </c>
      <c r="C89" s="66" t="str">
        <f>IF(COUNTIF(Table3[Not Abbreviation],A89)&gt;1,"DOUBLE","")</f>
        <v/>
      </c>
    </row>
    <row r="90" spans="1:3" x14ac:dyDescent="0.25">
      <c r="A90" s="45" t="s">
        <v>1039</v>
      </c>
      <c r="B90" s="19" t="str">
        <f>IF(COUNTIF(AB_Table[],Table3[[#This Row],[Not Abbreviation]])&gt;0,VLOOKUP(Table3[[#This Row],[Not Abbreviation]],AB_Table[],2),"")</f>
        <v/>
      </c>
      <c r="C90" s="65" t="str">
        <f>IF(COUNTIF(Table3[Not Abbreviation],A90)&gt;1,"DOUBLE","")</f>
        <v/>
      </c>
    </row>
    <row r="91" spans="1:3" x14ac:dyDescent="0.25">
      <c r="A91" s="45" t="s">
        <v>1092</v>
      </c>
      <c r="B91" s="19" t="str">
        <f>IF(COUNTIF(AB_Table[],Table3[[#This Row],[Not Abbreviation]])&gt;0,VLOOKUP(Table3[[#This Row],[Not Abbreviation]],AB_Table[],2),"")</f>
        <v/>
      </c>
      <c r="C91" s="65" t="str">
        <f>IF(COUNTIF(Table3[Not Abbreviation],A91)&gt;1,"DOUBLE","")</f>
        <v/>
      </c>
    </row>
    <row r="92" spans="1:3" x14ac:dyDescent="0.25">
      <c r="A92" s="45" t="s">
        <v>1110</v>
      </c>
      <c r="B92" s="19" t="str">
        <f>IF(COUNTIF(AB_Table[],Table3[[#This Row],[Not Abbreviation]])&gt;0,VLOOKUP(Table3[[#This Row],[Not Abbreviation]],AB_Table[],2),"")</f>
        <v/>
      </c>
      <c r="C92" s="65" t="str">
        <f>IF(COUNTIF(Table3[Not Abbreviation],A92)&gt;1,"DOUBLE","")</f>
        <v/>
      </c>
    </row>
    <row r="93" spans="1:3" x14ac:dyDescent="0.25">
      <c r="A93" s="45" t="s">
        <v>1098</v>
      </c>
      <c r="B93" s="19" t="str">
        <f>IF(COUNTIF(AB_Table[],Table3[[#This Row],[Not Abbreviation]])&gt;0,VLOOKUP(Table3[[#This Row],[Not Abbreviation]],AB_Table[],2),"")</f>
        <v/>
      </c>
      <c r="C93" s="65" t="str">
        <f>IF(COUNTIF(Table3[Not Abbreviation],A93)&gt;1,"DOUBLE","")</f>
        <v/>
      </c>
    </row>
    <row r="94" spans="1:3" x14ac:dyDescent="0.25">
      <c r="A94" s="45" t="s">
        <v>993</v>
      </c>
      <c r="B94" s="19" t="str">
        <f>IF(COUNTIF(AB_Table[],Table3[[#This Row],[Not Abbreviation]])&gt;0,VLOOKUP(Table3[[#This Row],[Not Abbreviation]],AB_Table[],2),"")</f>
        <v/>
      </c>
      <c r="C94" s="66" t="str">
        <f>IF(COUNTIF(Table3[Not Abbreviation],A94)&gt;1,"DOUBLE","")</f>
        <v/>
      </c>
    </row>
    <row r="95" spans="1:3" x14ac:dyDescent="0.25">
      <c r="A95" s="45" t="s">
        <v>1040</v>
      </c>
      <c r="B95" s="19" t="str">
        <f>IF(COUNTIF(AB_Table[],Table3[[#This Row],[Not Abbreviation]])&gt;0,VLOOKUP(Table3[[#This Row],[Not Abbreviation]],AB_Table[],2),"")</f>
        <v/>
      </c>
      <c r="C95" s="66" t="str">
        <f>IF(COUNTIF(Table3[Not Abbreviation],A95)&gt;1,"DOUBLE","")</f>
        <v/>
      </c>
    </row>
    <row r="96" spans="1:3" x14ac:dyDescent="0.25">
      <c r="A96" s="45" t="s">
        <v>972</v>
      </c>
      <c r="B96" s="19" t="str">
        <f>IF(COUNTIF(AB_Table[],Table3[[#This Row],[Not Abbreviation]])&gt;0,VLOOKUP(Table3[[#This Row],[Not Abbreviation]],AB_Table[],2),"")</f>
        <v/>
      </c>
      <c r="C96" s="66" t="str">
        <f>IF(COUNTIF(Table3[Not Abbreviation],A96)&gt;1,"DOUBLE","")</f>
        <v/>
      </c>
    </row>
    <row r="97" spans="1:3" x14ac:dyDescent="0.25">
      <c r="A97" s="45" t="s">
        <v>1076</v>
      </c>
      <c r="B97" s="19" t="str">
        <f>IF(COUNTIF(AB_Table[],Table3[[#This Row],[Not Abbreviation]])&gt;0,VLOOKUP(Table3[[#This Row],[Not Abbreviation]],AB_Table[],2),"")</f>
        <v/>
      </c>
      <c r="C97" s="65" t="str">
        <f>IF(COUNTIF(Table3[Not Abbreviation],A97)&gt;1,"DOUBLE","")</f>
        <v/>
      </c>
    </row>
    <row r="98" spans="1:3" x14ac:dyDescent="0.25">
      <c r="A98" s="45" t="s">
        <v>1099</v>
      </c>
      <c r="B98" s="19" t="str">
        <f>IF(COUNTIF(AB_Table[],Table3[[#This Row],[Not Abbreviation]])&gt;0,VLOOKUP(Table3[[#This Row],[Not Abbreviation]],AB_Table[],2),"")</f>
        <v/>
      </c>
      <c r="C98" s="65" t="str">
        <f>IF(COUNTIF(Table3[Not Abbreviation],A98)&gt;1,"DOUBLE","")</f>
        <v/>
      </c>
    </row>
    <row r="99" spans="1:3" x14ac:dyDescent="0.25">
      <c r="A99" s="45" t="s">
        <v>1120</v>
      </c>
      <c r="B99" s="19" t="str">
        <f>IF(COUNTIF(AB_Table[],Table3[[#This Row],[Not Abbreviation]])&gt;0,VLOOKUP(Table3[[#This Row],[Not Abbreviation]],AB_Table[],2),"")</f>
        <v/>
      </c>
      <c r="C99" s="66" t="str">
        <f>IF(COUNTIF(Table3[Not Abbreviation],A99)&gt;1,"DOUBLE","")</f>
        <v/>
      </c>
    </row>
    <row r="100" spans="1:3" x14ac:dyDescent="0.25">
      <c r="A100" s="45" t="s">
        <v>1045</v>
      </c>
      <c r="B100" s="19" t="str">
        <f>IF(COUNTIF(AB_Table[],Table3[[#This Row],[Not Abbreviation]])&gt;0,VLOOKUP(Table3[[#This Row],[Not Abbreviation]],AB_Table[],2),"")</f>
        <v/>
      </c>
      <c r="C100" s="65" t="str">
        <f>IF(COUNTIF(Table3[Not Abbreviation],A100)&gt;1,"DOUBLE","")</f>
        <v/>
      </c>
    </row>
    <row r="101" spans="1:3" x14ac:dyDescent="0.25">
      <c r="A101" s="45" t="s">
        <v>1022</v>
      </c>
      <c r="B101" s="19" t="str">
        <f>IF(COUNTIF(AB_Table[],Table3[[#This Row],[Not Abbreviation]])&gt;0,VLOOKUP(Table3[[#This Row],[Not Abbreviation]],AB_Table[],2),"")</f>
        <v/>
      </c>
      <c r="C101" s="65" t="str">
        <f>IF(COUNTIF(Table3[Not Abbreviation],A101)&gt;1,"DOUBLE","")</f>
        <v/>
      </c>
    </row>
    <row r="102" spans="1:3" x14ac:dyDescent="0.25">
      <c r="A102" s="47" t="s">
        <v>1074</v>
      </c>
      <c r="B102" s="44" t="str">
        <f>IF(COUNTIF(AB_Table[],Table3[[#This Row],[Not Abbreviation]])&gt;0,VLOOKUP(Table3[[#This Row],[Not Abbreviation]],AB_Table[],2),"")</f>
        <v/>
      </c>
      <c r="C102" s="65" t="str">
        <f>IF(COUNTIF(Table3[Not Abbreviation],A102)&gt;1,"DOUBLE","")</f>
        <v/>
      </c>
    </row>
    <row r="103" spans="1:3" x14ac:dyDescent="0.25">
      <c r="A103" s="47" t="s">
        <v>1024</v>
      </c>
      <c r="B103" s="44" t="str">
        <f>IF(COUNTIF(AB_Table[],Table3[[#This Row],[Not Abbreviation]])&gt;0,VLOOKUP(Table3[[#This Row],[Not Abbreviation]],AB_Table[],2),"")</f>
        <v/>
      </c>
      <c r="C103" s="66" t="str">
        <f>IF(COUNTIF(Table3[Not Abbreviation],A103)&gt;1,"DOUBLE","")</f>
        <v/>
      </c>
    </row>
    <row r="104" spans="1:3" x14ac:dyDescent="0.25">
      <c r="A104" s="45" t="s">
        <v>1048</v>
      </c>
      <c r="B104" s="19" t="str">
        <f>IF(COUNTIF(AB_Table[],Table3[[#This Row],[Not Abbreviation]])&gt;0,VLOOKUP(Table3[[#This Row],[Not Abbreviation]],AB_Table[],2),"")</f>
        <v/>
      </c>
      <c r="C104" s="66" t="str">
        <f>IF(COUNTIF(Table3[Not Abbreviation],A104)&gt;1,"DOUBLE","")</f>
        <v/>
      </c>
    </row>
    <row r="105" spans="1:3" x14ac:dyDescent="0.25">
      <c r="A105" s="45" t="s">
        <v>1062</v>
      </c>
      <c r="B105" s="19" t="str">
        <f>IF(COUNTIF(AB_Table[],Table3[[#This Row],[Not Abbreviation]])&gt;0,VLOOKUP(Table3[[#This Row],[Not Abbreviation]],AB_Table[],2),"")</f>
        <v/>
      </c>
      <c r="C105" s="65" t="str">
        <f>IF(COUNTIF(Table3[Not Abbreviation],A105)&gt;1,"DOUBLE","")</f>
        <v/>
      </c>
    </row>
    <row r="106" spans="1:3" x14ac:dyDescent="0.25">
      <c r="A106" s="45" t="s">
        <v>1065</v>
      </c>
      <c r="B106" s="19" t="str">
        <f>IF(COUNTIF(AB_Table[],Table3[[#This Row],[Not Abbreviation]])&gt;0,VLOOKUP(Table3[[#This Row],[Not Abbreviation]],AB_Table[],2),"")</f>
        <v/>
      </c>
      <c r="C106" s="65" t="str">
        <f>IF(COUNTIF(Table3[Not Abbreviation],A106)&gt;1,"DOUBLE","")</f>
        <v/>
      </c>
    </row>
    <row r="107" spans="1:3" x14ac:dyDescent="0.25">
      <c r="A107" s="45" t="s">
        <v>1020</v>
      </c>
      <c r="B107" s="19" t="str">
        <f>IF(COUNTIF(AB_Table[],Table3[[#This Row],[Not Abbreviation]])&gt;0,VLOOKUP(Table3[[#This Row],[Not Abbreviation]],AB_Table[],2),"")</f>
        <v/>
      </c>
      <c r="C107" s="66" t="str">
        <f>IF(COUNTIF(Table3[Not Abbreviation],A107)&gt;1,"DOUBLE","")</f>
        <v/>
      </c>
    </row>
    <row r="108" spans="1:3" x14ac:dyDescent="0.25">
      <c r="A108" s="47" t="s">
        <v>1030</v>
      </c>
      <c r="B108" s="44" t="str">
        <f>IF(COUNTIF(AB_Table[],Table3[[#This Row],[Not Abbreviation]])&gt;0,VLOOKUP(Table3[[#This Row],[Not Abbreviation]],AB_Table[],2),"")</f>
        <v/>
      </c>
      <c r="C108" s="65" t="str">
        <f>IF(COUNTIF(Table3[Not Abbreviation],A108)&gt;1,"DOUBLE","")</f>
        <v/>
      </c>
    </row>
    <row r="109" spans="1:3" x14ac:dyDescent="0.25">
      <c r="A109" s="45" t="s">
        <v>1119</v>
      </c>
      <c r="B109" s="19" t="str">
        <f>IF(COUNTIF(AB_Table[],Table3[[#This Row],[Not Abbreviation]])&gt;0,VLOOKUP(Table3[[#This Row],[Not Abbreviation]],AB_Table[],2),"")</f>
        <v/>
      </c>
      <c r="C109" s="66" t="str">
        <f>IF(COUNTIF(Table3[Not Abbreviation],A109)&gt;1,"DOUBLE","")</f>
        <v/>
      </c>
    </row>
    <row r="110" spans="1:3" x14ac:dyDescent="0.25">
      <c r="A110" s="47" t="s">
        <v>955</v>
      </c>
      <c r="B110" s="44" t="str">
        <f>IF(COUNTIF(AB_Table[],Table3[[#This Row],[Not Abbreviation]])&gt;0,VLOOKUP(Table3[[#This Row],[Not Abbreviation]],AB_Table[],2),"")</f>
        <v/>
      </c>
      <c r="C110" s="66" t="str">
        <f>IF(COUNTIF(Table3[Not Abbreviation],A110)&gt;1,"DOUBLE","")</f>
        <v/>
      </c>
    </row>
    <row r="111" spans="1:3" x14ac:dyDescent="0.25">
      <c r="A111" s="47" t="s">
        <v>938</v>
      </c>
      <c r="B111" s="44" t="str">
        <f>IF(COUNTIF(AB_Table[],Table3[[#This Row],[Not Abbreviation]])&gt;0,VLOOKUP(Table3[[#This Row],[Not Abbreviation]],AB_Table[],2),"")</f>
        <v/>
      </c>
      <c r="C111" s="65" t="str">
        <f>IF(COUNTIF(Table3[Not Abbreviation],A111)&gt;1,"DOUBLE","")</f>
        <v/>
      </c>
    </row>
    <row r="112" spans="1:3" x14ac:dyDescent="0.25">
      <c r="A112" s="45" t="s">
        <v>945</v>
      </c>
      <c r="B112" s="19" t="str">
        <f>IF(COUNTIF(AB_Table[],Table3[[#This Row],[Not Abbreviation]])&gt;0,VLOOKUP(Table3[[#This Row],[Not Abbreviation]],AB_Table[],2),"")</f>
        <v/>
      </c>
      <c r="C112" s="65" t="str">
        <f>IF(COUNTIF(Table3[Not Abbreviation],A112)&gt;1,"DOUBLE","")</f>
        <v/>
      </c>
    </row>
    <row r="113" spans="1:3" x14ac:dyDescent="0.25">
      <c r="A113" s="45" t="s">
        <v>1116</v>
      </c>
      <c r="B113" s="19" t="str">
        <f>IF(COUNTIF(AB_Table[],Table3[[#This Row],[Not Abbreviation]])&gt;0,VLOOKUP(Table3[[#This Row],[Not Abbreviation]],AB_Table[],2),"")</f>
        <v/>
      </c>
      <c r="C113" s="65" t="str">
        <f>IF(COUNTIF(Table3[Not Abbreviation],A113)&gt;1,"DOUBLE","")</f>
        <v/>
      </c>
    </row>
    <row r="114" spans="1:3" x14ac:dyDescent="0.25">
      <c r="A114" s="45" t="s">
        <v>1006</v>
      </c>
      <c r="B114" s="19" t="str">
        <f>IF(COUNTIF(AB_Table[],Table3[[#This Row],[Not Abbreviation]])&gt;0,VLOOKUP(Table3[[#This Row],[Not Abbreviation]],AB_Table[],2),"")</f>
        <v/>
      </c>
      <c r="C114" s="65" t="str">
        <f>IF(COUNTIF(Table3[Not Abbreviation],A114)&gt;1,"DOUBLE","")</f>
        <v/>
      </c>
    </row>
    <row r="115" spans="1:3" x14ac:dyDescent="0.25">
      <c r="A115" s="45" t="s">
        <v>964</v>
      </c>
      <c r="B115" s="44" t="str">
        <f>IF(COUNTIF(AB_Table[],Table3[[#This Row],[Not Abbreviation]])&gt;0,VLOOKUP(Table3[[#This Row],[Not Abbreviation]],AB_Table[],2),"")</f>
        <v/>
      </c>
      <c r="C115" s="66" t="str">
        <f>IF(COUNTIF(Table3[Not Abbreviation],A115)&gt;1,"DOUBLE","")</f>
        <v/>
      </c>
    </row>
    <row r="116" spans="1:3" x14ac:dyDescent="0.25">
      <c r="A116" s="45" t="s">
        <v>1053</v>
      </c>
      <c r="B116" s="19" t="str">
        <f>IF(COUNTIF(AB_Table[],Table3[[#This Row],[Not Abbreviation]])&gt;0,VLOOKUP(Table3[[#This Row],[Not Abbreviation]],AB_Table[],2),"")</f>
        <v/>
      </c>
      <c r="C116" s="66" t="str">
        <f>IF(COUNTIF(Table3[Not Abbreviation],A116)&gt;1,"DOUBLE","")</f>
        <v/>
      </c>
    </row>
    <row r="117" spans="1:3" x14ac:dyDescent="0.25">
      <c r="A117" s="45" t="s">
        <v>1032</v>
      </c>
      <c r="B117" s="19" t="str">
        <f>IF(COUNTIF(AB_Table[],Table3[[#This Row],[Not Abbreviation]])&gt;0,VLOOKUP(Table3[[#This Row],[Not Abbreviation]],AB_Table[],2),"")</f>
        <v/>
      </c>
      <c r="C117" s="66" t="str">
        <f>IF(COUNTIF(Table3[Not Abbreviation],A117)&gt;1,"DOUBLE","")</f>
        <v/>
      </c>
    </row>
    <row r="118" spans="1:3" x14ac:dyDescent="0.25">
      <c r="A118" s="45" t="s">
        <v>1097</v>
      </c>
      <c r="B118" s="19" t="str">
        <f>IF(COUNTIF(AB_Table[],Table3[[#This Row],[Not Abbreviation]])&gt;0,VLOOKUP(Table3[[#This Row],[Not Abbreviation]],AB_Table[],2),"")</f>
        <v/>
      </c>
      <c r="C118" s="65" t="str">
        <f>IF(COUNTIF(Table3[Not Abbreviation],A118)&gt;1,"DOUBLE","")</f>
        <v/>
      </c>
    </row>
    <row r="119" spans="1:3" x14ac:dyDescent="0.25">
      <c r="A119" s="45" t="s">
        <v>1134</v>
      </c>
      <c r="B119" s="19" t="str">
        <f>IF(COUNTIF(AB_Table[],Table3[[#This Row],[Not Abbreviation]])&gt;0,VLOOKUP(Table3[[#This Row],[Not Abbreviation]],AB_Table[],2),"")</f>
        <v/>
      </c>
      <c r="C119" s="65" t="str">
        <f>IF(COUNTIF(Table3[Not Abbreviation],A119)&gt;1,"DOUBLE","")</f>
        <v/>
      </c>
    </row>
    <row r="120" spans="1:3" x14ac:dyDescent="0.25">
      <c r="A120" s="45" t="s">
        <v>1073</v>
      </c>
      <c r="B120" s="19" t="str">
        <f>IF(COUNTIF(AB_Table[],Table3[[#This Row],[Not Abbreviation]])&gt;0,VLOOKUP(Table3[[#This Row],[Not Abbreviation]],AB_Table[],2),"")</f>
        <v/>
      </c>
      <c r="C120" s="65" t="str">
        <f>IF(COUNTIF(Table3[Not Abbreviation],A120)&gt;1,"DOUBLE","")</f>
        <v/>
      </c>
    </row>
    <row r="121" spans="1:3" x14ac:dyDescent="0.25">
      <c r="A121" s="45" t="s">
        <v>1000</v>
      </c>
      <c r="B121" s="19" t="str">
        <f>IF(COUNTIF(AB_Table[],Table3[[#This Row],[Not Abbreviation]])&gt;0,VLOOKUP(Table3[[#This Row],[Not Abbreviation]],AB_Table[],2),"")</f>
        <v/>
      </c>
      <c r="C121" s="65" t="str">
        <f>IF(COUNTIF(Table3[Not Abbreviation],A121)&gt;1,"DOUBLE","")</f>
        <v/>
      </c>
    </row>
    <row r="122" spans="1:3" x14ac:dyDescent="0.25">
      <c r="A122" s="45" t="s">
        <v>1042</v>
      </c>
      <c r="B122" s="19" t="str">
        <f>IF(COUNTIF(AB_Table[],Table3[[#This Row],[Not Abbreviation]])&gt;0,VLOOKUP(Table3[[#This Row],[Not Abbreviation]],AB_Table[],2),"")</f>
        <v/>
      </c>
      <c r="C122" s="66" t="str">
        <f>IF(COUNTIF(Table3[Not Abbreviation],A122)&gt;1,"DOUBLE","")</f>
        <v/>
      </c>
    </row>
    <row r="123" spans="1:3" x14ac:dyDescent="0.25">
      <c r="A123" s="45" t="s">
        <v>946</v>
      </c>
      <c r="B123" s="19" t="str">
        <f>IF(COUNTIF(AB_Table[],Table3[[#This Row],[Not Abbreviation]])&gt;0,VLOOKUP(Table3[[#This Row],[Not Abbreviation]],AB_Table[],2),"")</f>
        <v/>
      </c>
      <c r="C123" s="65" t="str">
        <f>IF(COUNTIF(Table3[Not Abbreviation],A123)&gt;1,"DOUBLE","")</f>
        <v/>
      </c>
    </row>
    <row r="124" spans="1:3" x14ac:dyDescent="0.25">
      <c r="A124" s="47" t="s">
        <v>997</v>
      </c>
      <c r="B124" s="44" t="str">
        <f>IF(COUNTIF(AB_Table[],Table3[[#This Row],[Not Abbreviation]])&gt;0,VLOOKUP(Table3[[#This Row],[Not Abbreviation]],AB_Table[],2),"")</f>
        <v/>
      </c>
      <c r="C124" s="66" t="str">
        <f>IF(COUNTIF(Table3[Not Abbreviation],A124)&gt;1,"DOUBLE","")</f>
        <v/>
      </c>
    </row>
    <row r="125" spans="1:3" x14ac:dyDescent="0.25">
      <c r="A125" s="45" t="s">
        <v>998</v>
      </c>
      <c r="B125" s="19" t="str">
        <f>IF(COUNTIF(AB_Table[],Table3[[#This Row],[Not Abbreviation]])&gt;0,VLOOKUP(Table3[[#This Row],[Not Abbreviation]],AB_Table[],2),"")</f>
        <v/>
      </c>
      <c r="C125" s="66" t="str">
        <f>IF(COUNTIF(Table3[Not Abbreviation],A125)&gt;1,"DOUBLE","")</f>
        <v/>
      </c>
    </row>
    <row r="126" spans="1:3" x14ac:dyDescent="0.25">
      <c r="A126" s="45" t="s">
        <v>1005</v>
      </c>
      <c r="B126" s="19" t="str">
        <f>IF(COUNTIF(AB_Table[],Table3[[#This Row],[Not Abbreviation]])&gt;0,VLOOKUP(Table3[[#This Row],[Not Abbreviation]],AB_Table[],2),"")</f>
        <v/>
      </c>
      <c r="C126" s="65" t="str">
        <f>IF(COUNTIF(Table3[Not Abbreviation],A126)&gt;1,"DOUBLE","")</f>
        <v/>
      </c>
    </row>
    <row r="127" spans="1:3" x14ac:dyDescent="0.25">
      <c r="A127" s="45" t="s">
        <v>1129</v>
      </c>
      <c r="B127" s="19" t="str">
        <f>IF(COUNTIF(AB_Table[],Table3[[#This Row],[Not Abbreviation]])&gt;0,VLOOKUP(Table3[[#This Row],[Not Abbreviation]],AB_Table[],2),"")</f>
        <v/>
      </c>
      <c r="C127" s="65" t="str">
        <f>IF(COUNTIF(Table3[Not Abbreviation],A127)&gt;1,"DOUBLE","")</f>
        <v/>
      </c>
    </row>
    <row r="128" spans="1:3" x14ac:dyDescent="0.25">
      <c r="A128" s="45" t="s">
        <v>1124</v>
      </c>
      <c r="B128" s="19" t="str">
        <f>IF(COUNTIF(AB_Table[],Table3[[#This Row],[Not Abbreviation]])&gt;0,VLOOKUP(Table3[[#This Row],[Not Abbreviation]],AB_Table[],2),"")</f>
        <v/>
      </c>
      <c r="C128" s="65" t="str">
        <f>IF(COUNTIF(Table3[Not Abbreviation],A128)&gt;1,"DOUBLE","")</f>
        <v/>
      </c>
    </row>
    <row r="129" spans="1:3" x14ac:dyDescent="0.25">
      <c r="A129" s="45" t="s">
        <v>976</v>
      </c>
      <c r="B129" s="19" t="str">
        <f>IF(COUNTIF(AB_Table[],Table3[[#This Row],[Not Abbreviation]])&gt;0,VLOOKUP(Table3[[#This Row],[Not Abbreviation]],AB_Table[],2),"")</f>
        <v/>
      </c>
      <c r="C129" s="66" t="str">
        <f>IF(COUNTIF(Table3[Not Abbreviation],A129)&gt;1,"DOUBLE","")</f>
        <v/>
      </c>
    </row>
    <row r="130" spans="1:3" x14ac:dyDescent="0.25">
      <c r="A130" s="45" t="s">
        <v>952</v>
      </c>
      <c r="B130" s="19" t="str">
        <f>IF(COUNTIF(AB_Table[],Table3[[#This Row],[Not Abbreviation]])&gt;0,VLOOKUP(Table3[[#This Row],[Not Abbreviation]],AB_Table[],2),"")</f>
        <v/>
      </c>
      <c r="C130" s="65" t="str">
        <f>IF(COUNTIF(Table3[Not Abbreviation],A130)&gt;1,"DOUBLE","")</f>
        <v/>
      </c>
    </row>
    <row r="131" spans="1:3" x14ac:dyDescent="0.25">
      <c r="A131" s="45" t="s">
        <v>1100</v>
      </c>
      <c r="B131" s="19" t="str">
        <f>IF(COUNTIF(AB_Table[],Table3[[#This Row],[Not Abbreviation]])&gt;0,VLOOKUP(Table3[[#This Row],[Not Abbreviation]],AB_Table[],2),"")</f>
        <v/>
      </c>
      <c r="C131" s="65" t="str">
        <f>IF(COUNTIF(Table3[Not Abbreviation],A131)&gt;1,"DOUBLE","")</f>
        <v/>
      </c>
    </row>
    <row r="132" spans="1:3" x14ac:dyDescent="0.25">
      <c r="A132" s="47" t="s">
        <v>1066</v>
      </c>
      <c r="B132" s="44" t="str">
        <f>IF(COUNTIF(AB_Table[],Table3[[#This Row],[Not Abbreviation]])&gt;0,VLOOKUP(Table3[[#This Row],[Not Abbreviation]],AB_Table[],2),"")</f>
        <v/>
      </c>
      <c r="C132" s="65" t="str">
        <f>IF(COUNTIF(Table3[Not Abbreviation],A132)&gt;1,"DOUBLE","")</f>
        <v/>
      </c>
    </row>
    <row r="133" spans="1:3" x14ac:dyDescent="0.25">
      <c r="A133" s="45" t="s">
        <v>1132</v>
      </c>
      <c r="B133" s="19" t="str">
        <f>IF(COUNTIF(AB_Table[],Table3[[#This Row],[Not Abbreviation]])&gt;0,VLOOKUP(Table3[[#This Row],[Not Abbreviation]],AB_Table[],2),"")</f>
        <v/>
      </c>
      <c r="C133" s="65" t="str">
        <f>IF(COUNTIF(Table3[Not Abbreviation],A133)&gt;1,"DOUBLE","")</f>
        <v/>
      </c>
    </row>
    <row r="134" spans="1:3" x14ac:dyDescent="0.25">
      <c r="A134" s="45" t="s">
        <v>1123</v>
      </c>
      <c r="B134" s="19" t="str">
        <f>IF(COUNTIF(AB_Table[],Table3[[#This Row],[Not Abbreviation]])&gt;0,VLOOKUP(Table3[[#This Row],[Not Abbreviation]],AB_Table[],2),"")</f>
        <v/>
      </c>
      <c r="C134" s="66" t="str">
        <f>IF(COUNTIF(Table3[Not Abbreviation],A134)&gt;1,"DOUBLE","")</f>
        <v/>
      </c>
    </row>
    <row r="135" spans="1:3" x14ac:dyDescent="0.25">
      <c r="A135" s="45" t="s">
        <v>1084</v>
      </c>
      <c r="B135" s="19" t="str">
        <f>IF(COUNTIF(AB_Table[],Table3[[#This Row],[Not Abbreviation]])&gt;0,VLOOKUP(Table3[[#This Row],[Not Abbreviation]],AB_Table[],2),"")</f>
        <v/>
      </c>
      <c r="C135" s="66" t="str">
        <f>IF(COUNTIF(Table3[Not Abbreviation],A135)&gt;1,"DOUBLE","")</f>
        <v/>
      </c>
    </row>
    <row r="136" spans="1:3" x14ac:dyDescent="0.25">
      <c r="A136" s="47" t="s">
        <v>941</v>
      </c>
      <c r="B136" s="44" t="str">
        <f>IF(COUNTIF(AB_Table[],Table3[[#This Row],[Not Abbreviation]])&gt;0,VLOOKUP(Table3[[#This Row],[Not Abbreviation]],AB_Table[],2),"")</f>
        <v/>
      </c>
      <c r="C136" s="65" t="str">
        <f>IF(COUNTIF(Table3[Not Abbreviation],A136)&gt;1,"DOUBLE","")</f>
        <v/>
      </c>
    </row>
    <row r="137" spans="1:3" x14ac:dyDescent="0.25">
      <c r="A137" s="47" t="s">
        <v>995</v>
      </c>
      <c r="B137" s="44" t="str">
        <f>IF(COUNTIF(AB_Table[],Table3[[#This Row],[Not Abbreviation]])&gt;0,VLOOKUP(Table3[[#This Row],[Not Abbreviation]],AB_Table[],2),"")</f>
        <v/>
      </c>
      <c r="C137" s="66" t="str">
        <f>IF(COUNTIF(Table3[Not Abbreviation],A137)&gt;1,"DOUBLE","")</f>
        <v/>
      </c>
    </row>
    <row r="138" spans="1:3" x14ac:dyDescent="0.25">
      <c r="A138" s="47" t="s">
        <v>1127</v>
      </c>
      <c r="B138" s="44" t="str">
        <f>IF(COUNTIF(AB_Table[],Table3[[#This Row],[Not Abbreviation]])&gt;0,VLOOKUP(Table3[[#This Row],[Not Abbreviation]],AB_Table[],2),"")</f>
        <v/>
      </c>
      <c r="C138" s="65" t="str">
        <f>IF(COUNTIF(Table3[Not Abbreviation],A138)&gt;1,"DOUBLE","")</f>
        <v/>
      </c>
    </row>
    <row r="139" spans="1:3" x14ac:dyDescent="0.25">
      <c r="A139" s="47" t="s">
        <v>1060</v>
      </c>
      <c r="B139" s="44" t="str">
        <f>IF(COUNTIF(AB_Table[],Table3[[#This Row],[Not Abbreviation]])&gt;0,VLOOKUP(Table3[[#This Row],[Not Abbreviation]],AB_Table[],2),"")</f>
        <v/>
      </c>
      <c r="C139" s="66" t="str">
        <f>IF(COUNTIF(Table3[Not Abbreviation],A139)&gt;1,"DOUBLE","")</f>
        <v/>
      </c>
    </row>
    <row r="140" spans="1:3" x14ac:dyDescent="0.25">
      <c r="A140" s="47" t="s">
        <v>1007</v>
      </c>
      <c r="B140" s="44" t="str">
        <f>IF(COUNTIF(AB_Table[],Table3[[#This Row],[Not Abbreviation]])&gt;0,VLOOKUP(Table3[[#This Row],[Not Abbreviation]],AB_Table[],2),"")</f>
        <v/>
      </c>
      <c r="C140" s="66" t="str">
        <f>IF(COUNTIF(Table3[Not Abbreviation],A140)&gt;1,"DOUBLE","")</f>
        <v/>
      </c>
    </row>
    <row r="141" spans="1:3" x14ac:dyDescent="0.25">
      <c r="A141" s="47" t="s">
        <v>1059</v>
      </c>
      <c r="B141" s="44" t="str">
        <f>IF(COUNTIF(AB_Table[],Table3[[#This Row],[Not Abbreviation]])&gt;0,VLOOKUP(Table3[[#This Row],[Not Abbreviation]],AB_Table[],2),"")</f>
        <v/>
      </c>
      <c r="C141" s="66" t="str">
        <f>IF(COUNTIF(Table3[Not Abbreviation],A141)&gt;1,"DOUBLE","")</f>
        <v/>
      </c>
    </row>
    <row r="142" spans="1:3" x14ac:dyDescent="0.25">
      <c r="A142" s="47" t="s">
        <v>939</v>
      </c>
      <c r="B142" s="19" t="str">
        <f>IF(COUNTIF(AB_Table[],Table3[[#This Row],[Not Abbreviation]])&gt;0,VLOOKUP(Table3[[#This Row],[Not Abbreviation]],AB_Table[],2),"")</f>
        <v/>
      </c>
      <c r="C142" s="65" t="str">
        <f>IF(COUNTIF(Table3[Not Abbreviation],A142)&gt;1,"DOUBLE","")</f>
        <v/>
      </c>
    </row>
    <row r="143" spans="1:3" x14ac:dyDescent="0.25">
      <c r="A143" s="47" t="s">
        <v>990</v>
      </c>
      <c r="B143" s="19" t="str">
        <f>IF(COUNTIF(AB_Table[],Table3[[#This Row],[Not Abbreviation]])&gt;0,VLOOKUP(Table3[[#This Row],[Not Abbreviation]],AB_Table[],2),"")</f>
        <v/>
      </c>
      <c r="C143" s="65" t="str">
        <f>IF(COUNTIF(Table3[Not Abbreviation],A143)&gt;1,"DOUBLE","")</f>
        <v/>
      </c>
    </row>
    <row r="144" spans="1:3" x14ac:dyDescent="0.25">
      <c r="A144" s="47" t="s">
        <v>1072</v>
      </c>
      <c r="B144" s="19" t="str">
        <f>IF(COUNTIF(AB_Table[],Table3[[#This Row],[Not Abbreviation]])&gt;0,VLOOKUP(Table3[[#This Row],[Not Abbreviation]],AB_Table[],2),"")</f>
        <v/>
      </c>
      <c r="C144" s="65" t="str">
        <f>IF(COUNTIF(Table3[Not Abbreviation],A144)&gt;1,"DOUBLE","")</f>
        <v/>
      </c>
    </row>
    <row r="145" spans="1:3" x14ac:dyDescent="0.25">
      <c r="A145" s="47" t="s">
        <v>1002</v>
      </c>
      <c r="B145" s="19" t="str">
        <f>IF(COUNTIF(AB_Table[],Table3[[#This Row],[Not Abbreviation]])&gt;0,VLOOKUP(Table3[[#This Row],[Not Abbreviation]],AB_Table[],2),"")</f>
        <v/>
      </c>
      <c r="C145" s="66" t="str">
        <f>IF(COUNTIF(Table3[Not Abbreviation],A145)&gt;1,"DOUBLE","")</f>
        <v/>
      </c>
    </row>
    <row r="146" spans="1:3" x14ac:dyDescent="0.25">
      <c r="A146" s="47" t="s">
        <v>989</v>
      </c>
      <c r="B146" s="19" t="str">
        <f>IF(COUNTIF(AB_Table[],Table3[[#This Row],[Not Abbreviation]])&gt;0,VLOOKUP(Table3[[#This Row],[Not Abbreviation]],AB_Table[],2),"")</f>
        <v/>
      </c>
      <c r="C146" s="66" t="str">
        <f>IF(COUNTIF(Table3[Not Abbreviation],A146)&gt;1,"DOUBLE","")</f>
        <v/>
      </c>
    </row>
    <row r="147" spans="1:3" x14ac:dyDescent="0.25">
      <c r="A147" s="47" t="s">
        <v>954</v>
      </c>
      <c r="B147" s="19" t="str">
        <f>IF(COUNTIF(AB_Table[],Table3[[#This Row],[Not Abbreviation]])&gt;0,VLOOKUP(Table3[[#This Row],[Not Abbreviation]],AB_Table[],2),"")</f>
        <v/>
      </c>
      <c r="C147" s="65" t="str">
        <f>IF(COUNTIF(Table3[Not Abbreviation],A147)&gt;1,"DOUBLE","")</f>
        <v/>
      </c>
    </row>
    <row r="148" spans="1:3" x14ac:dyDescent="0.25">
      <c r="A148" s="47" t="s">
        <v>1013</v>
      </c>
      <c r="B148" s="44" t="str">
        <f>IF(COUNTIF(AB_Table[],Table3[[#This Row],[Not Abbreviation]])&gt;0,VLOOKUP(Table3[[#This Row],[Not Abbreviation]],AB_Table[],2),"")</f>
        <v/>
      </c>
      <c r="C148" s="66" t="str">
        <f>IF(COUNTIF(Table3[Not Abbreviation],A148)&gt;1,"DOUBLE","")</f>
        <v/>
      </c>
    </row>
    <row r="149" spans="1:3" x14ac:dyDescent="0.25">
      <c r="A149" s="47" t="s">
        <v>1029</v>
      </c>
      <c r="B149" s="44" t="str">
        <f>IF(COUNTIF(AB_Table[],Table3[[#This Row],[Not Abbreviation]])&gt;0,VLOOKUP(Table3[[#This Row],[Not Abbreviation]],AB_Table[],2),"")</f>
        <v/>
      </c>
      <c r="C149" s="66" t="str">
        <f>IF(COUNTIF(Table3[Not Abbreviation],A149)&gt;1,"DOUBLE","")</f>
        <v/>
      </c>
    </row>
    <row r="150" spans="1:3" x14ac:dyDescent="0.25">
      <c r="A150" s="47" t="s">
        <v>1049</v>
      </c>
      <c r="B150" s="44" t="str">
        <f>IF(COUNTIF(AB_Table[],Table3[[#This Row],[Not Abbreviation]])&gt;0,VLOOKUP(Table3[[#This Row],[Not Abbreviation]],AB_Table[],2),"")</f>
        <v/>
      </c>
      <c r="C150" s="65" t="str">
        <f>IF(COUNTIF(Table3[Not Abbreviation],A150)&gt;1,"DOUBLE","")</f>
        <v/>
      </c>
    </row>
    <row r="151" spans="1:3" x14ac:dyDescent="0.25">
      <c r="A151" s="47" t="s">
        <v>1051</v>
      </c>
      <c r="B151" s="44" t="str">
        <f>IF(COUNTIF(AB_Table[],Table3[[#This Row],[Not Abbreviation]])&gt;0,VLOOKUP(Table3[[#This Row],[Not Abbreviation]],AB_Table[],2),"")</f>
        <v/>
      </c>
      <c r="C151" s="66" t="str">
        <f>IF(COUNTIF(Table3[Not Abbreviation],A151)&gt;1,"DOUBLE","")</f>
        <v/>
      </c>
    </row>
    <row r="152" spans="1:3" x14ac:dyDescent="0.25">
      <c r="A152" s="47" t="s">
        <v>957</v>
      </c>
      <c r="B152" s="44" t="str">
        <f>IF(COUNTIF(AB_Table[],Table3[[#This Row],[Not Abbreviation]])&gt;0,VLOOKUP(Table3[[#This Row],[Not Abbreviation]],AB_Table[],2),"")</f>
        <v/>
      </c>
      <c r="C152" s="66" t="str">
        <f>IF(COUNTIF(Table3[Not Abbreviation],A152)&gt;1,"DOUBLE","")</f>
        <v/>
      </c>
    </row>
    <row r="153" spans="1:3" x14ac:dyDescent="0.25">
      <c r="A153" s="47" t="s">
        <v>1004</v>
      </c>
      <c r="B153" s="44" t="str">
        <f>IF(COUNTIF(AB_Table[],Table3[[#This Row],[Not Abbreviation]])&gt;0,VLOOKUP(Table3[[#This Row],[Not Abbreviation]],AB_Table[],2),"")</f>
        <v/>
      </c>
      <c r="C153" s="66" t="str">
        <f>IF(COUNTIF(Table3[Not Abbreviation],A153)&gt;1,"DOUBLE","")</f>
        <v/>
      </c>
    </row>
    <row r="154" spans="1:3" x14ac:dyDescent="0.25">
      <c r="A154" s="47" t="s">
        <v>1011</v>
      </c>
      <c r="B154" s="44" t="str">
        <f>IF(COUNTIF(AB_Table[],Table3[[#This Row],[Not Abbreviation]])&gt;0,VLOOKUP(Table3[[#This Row],[Not Abbreviation]],AB_Table[],2),"")</f>
        <v/>
      </c>
      <c r="C154" s="66" t="str">
        <f>IF(COUNTIF(Table3[Not Abbreviation],A154)&gt;1,"DOUBLE","")</f>
        <v/>
      </c>
    </row>
    <row r="155" spans="1:3" x14ac:dyDescent="0.25">
      <c r="A155" s="45" t="s">
        <v>961</v>
      </c>
      <c r="B155" s="44" t="str">
        <f>IF(COUNTIF(AB_Table[],Table3[[#This Row],[Not Abbreviation]])&gt;0,VLOOKUP(Table3[[#This Row],[Not Abbreviation]],AB_Table[],2),"")</f>
        <v/>
      </c>
      <c r="C155" s="66" t="str">
        <f>IF(COUNTIF(Table3[Not Abbreviation],A155)&gt;1,"DOUBLE","")</f>
        <v/>
      </c>
    </row>
    <row r="156" spans="1:3" x14ac:dyDescent="0.25">
      <c r="A156" s="47" t="s">
        <v>992</v>
      </c>
      <c r="B156" s="44" t="str">
        <f>IF(COUNTIF(AB_Table[],Table3[[#This Row],[Not Abbreviation]])&gt;0,VLOOKUP(Table3[[#This Row],[Not Abbreviation]],AB_Table[],2),"")</f>
        <v/>
      </c>
      <c r="C156" s="66" t="str">
        <f>IF(COUNTIF(Table3[Not Abbreviation],A156)&gt;1,"DOUBLE","")</f>
        <v/>
      </c>
    </row>
    <row r="157" spans="1:3" x14ac:dyDescent="0.25">
      <c r="A157" s="47" t="s">
        <v>987</v>
      </c>
      <c r="B157" s="44" t="str">
        <f>IF(COUNTIF(AB_Table[],Table3[[#This Row],[Not Abbreviation]])&gt;0,VLOOKUP(Table3[[#This Row],[Not Abbreviation]],AB_Table[],2),"")</f>
        <v/>
      </c>
      <c r="C157" s="66" t="str">
        <f>IF(COUNTIF(Table3[Not Abbreviation],A157)&gt;1,"DOUBLE","")</f>
        <v/>
      </c>
    </row>
    <row r="158" spans="1:3" x14ac:dyDescent="0.25">
      <c r="A158" s="47" t="s">
        <v>1130</v>
      </c>
      <c r="B158" s="44" t="str">
        <f>IF(COUNTIF(AB_Table[],Table3[[#This Row],[Not Abbreviation]])&gt;0,VLOOKUP(Table3[[#This Row],[Not Abbreviation]],AB_Table[],2),"")</f>
        <v/>
      </c>
      <c r="C158" s="65" t="str">
        <f>IF(COUNTIF(Table3[Not Abbreviation],A158)&gt;1,"DOUBLE","")</f>
        <v/>
      </c>
    </row>
    <row r="159" spans="1:3" x14ac:dyDescent="0.25">
      <c r="A159" s="47" t="s">
        <v>1063</v>
      </c>
      <c r="B159" s="44" t="str">
        <f>IF(COUNTIF(AB_Table[],Table3[[#This Row],[Not Abbreviation]])&gt;0,VLOOKUP(Table3[[#This Row],[Not Abbreviation]],AB_Table[],2),"")</f>
        <v/>
      </c>
      <c r="C159" s="65" t="str">
        <f>IF(COUNTIF(Table3[Not Abbreviation],A159)&gt;1,"DOUBLE","")</f>
        <v/>
      </c>
    </row>
    <row r="160" spans="1:3" x14ac:dyDescent="0.25">
      <c r="A160" s="47" t="s">
        <v>1080</v>
      </c>
      <c r="B160" s="44" t="str">
        <f>IF(COUNTIF(AB_Table[],Table3[[#This Row],[Not Abbreviation]])&gt;0,VLOOKUP(Table3[[#This Row],[Not Abbreviation]],AB_Table[],2),"")</f>
        <v/>
      </c>
      <c r="C160" s="65" t="str">
        <f>IF(COUNTIF(Table3[Not Abbreviation],A160)&gt;1,"DOUBLE","")</f>
        <v/>
      </c>
    </row>
    <row r="161" spans="1:3" x14ac:dyDescent="0.25">
      <c r="A161" s="47" t="s">
        <v>984</v>
      </c>
      <c r="B161" s="44" t="str">
        <f>IF(COUNTIF(AB_Table[],Table3[[#This Row],[Not Abbreviation]])&gt;0,VLOOKUP(Table3[[#This Row],[Not Abbreviation]],AB_Table[],2),"")</f>
        <v/>
      </c>
      <c r="C161" s="66" t="str">
        <f>IF(COUNTIF(Table3[Not Abbreviation],A161)&gt;1,"DOUBLE","")</f>
        <v/>
      </c>
    </row>
    <row r="162" spans="1:3" x14ac:dyDescent="0.25">
      <c r="A162" s="47" t="s">
        <v>953</v>
      </c>
      <c r="B162" s="44" t="str">
        <f>IF(COUNTIF(AB_Table[],Table3[[#This Row],[Not Abbreviation]])&gt;0,VLOOKUP(Table3[[#This Row],[Not Abbreviation]],AB_Table[],2),"")</f>
        <v/>
      </c>
      <c r="C162" s="65" t="str">
        <f>IF(COUNTIF(Table3[Not Abbreviation],A162)&gt;1,"DOUBLE","")</f>
        <v/>
      </c>
    </row>
    <row r="163" spans="1:3" x14ac:dyDescent="0.25">
      <c r="A163" s="47" t="s">
        <v>971</v>
      </c>
      <c r="B163" s="44" t="str">
        <f>IF(COUNTIF(AB_Table[],Table3[[#This Row],[Not Abbreviation]])&gt;0,VLOOKUP(Table3[[#This Row],[Not Abbreviation]],AB_Table[],2),"")</f>
        <v/>
      </c>
      <c r="C163" s="66" t="str">
        <f>IF(COUNTIF(Table3[Not Abbreviation],A163)&gt;1,"DOUBLE","")</f>
        <v/>
      </c>
    </row>
    <row r="164" spans="1:3" x14ac:dyDescent="0.25">
      <c r="A164" s="47" t="s">
        <v>950</v>
      </c>
      <c r="B164" s="44" t="str">
        <f>IF(COUNTIF(AB_Table[],Table3[[#This Row],[Not Abbreviation]])&gt;0,VLOOKUP(Table3[[#This Row],[Not Abbreviation]],AB_Table[],2),"")</f>
        <v/>
      </c>
      <c r="C164" s="66" t="str">
        <f>IF(COUNTIF(Table3[Not Abbreviation],A164)&gt;1,"DOUBLE","")</f>
        <v/>
      </c>
    </row>
    <row r="165" spans="1:3" x14ac:dyDescent="0.25">
      <c r="A165" s="47" t="s">
        <v>937</v>
      </c>
      <c r="B165" s="44" t="str">
        <f>IF(COUNTIF(AB_Table[],Table3[[#This Row],[Not Abbreviation]])&gt;0,VLOOKUP(Table3[[#This Row],[Not Abbreviation]],AB_Table[],2),"")</f>
        <v/>
      </c>
      <c r="C165" s="65" t="str">
        <f>IF(COUNTIF(Table3[Not Abbreviation],A165)&gt;1,"DOUBLE","")</f>
        <v/>
      </c>
    </row>
    <row r="166" spans="1:3" x14ac:dyDescent="0.25">
      <c r="A166" s="47" t="s">
        <v>991</v>
      </c>
      <c r="B166" s="44" t="str">
        <f>IF(COUNTIF(AB_Table[],Table3[[#This Row],[Not Abbreviation]])&gt;0,VLOOKUP(Table3[[#This Row],[Not Abbreviation]],AB_Table[],2),"")</f>
        <v/>
      </c>
      <c r="C166" s="66" t="str">
        <f>IF(COUNTIF(Table3[Not Abbreviation],A166)&gt;1,"DOUBLE","")</f>
        <v/>
      </c>
    </row>
    <row r="167" spans="1:3" x14ac:dyDescent="0.25">
      <c r="A167" s="47" t="s">
        <v>985</v>
      </c>
      <c r="B167" s="44" t="str">
        <f>IF(COUNTIF(AB_Table[],Table3[[#This Row],[Not Abbreviation]])&gt;0,VLOOKUP(Table3[[#This Row],[Not Abbreviation]],AB_Table[],2),"")</f>
        <v/>
      </c>
      <c r="C167" s="66" t="str">
        <f>IF(COUNTIF(Table3[Not Abbreviation],A167)&gt;1,"DOUBLE","")</f>
        <v/>
      </c>
    </row>
    <row r="168" spans="1:3" x14ac:dyDescent="0.25">
      <c r="A168" s="47" t="s">
        <v>980</v>
      </c>
      <c r="B168" s="44" t="str">
        <f>IF(COUNTIF(AB_Table[],Table3[[#This Row],[Not Abbreviation]])&gt;0,VLOOKUP(Table3[[#This Row],[Not Abbreviation]],AB_Table[],2),"")</f>
        <v/>
      </c>
      <c r="C168" s="65" t="str">
        <f>IF(COUNTIF(Table3[Not Abbreviation],A168)&gt;1,"DOUBLE","")</f>
        <v/>
      </c>
    </row>
    <row r="169" spans="1:3" x14ac:dyDescent="0.25">
      <c r="A169" s="45" t="s">
        <v>1033</v>
      </c>
      <c r="B169" s="19" t="str">
        <f>IF(COUNTIF(AB_Table[],Table3[[#This Row],[Not Abbreviation]])&gt;0,VLOOKUP(Table3[[#This Row],[Not Abbreviation]],AB_Table[],2),"")</f>
        <v/>
      </c>
      <c r="C169" s="66" t="str">
        <f>IF(COUNTIF(Table3[Not Abbreviation],A169)&gt;1,"DOUBLE","")</f>
        <v/>
      </c>
    </row>
    <row r="170" spans="1:3" x14ac:dyDescent="0.25">
      <c r="A170" s="45" t="s">
        <v>1003</v>
      </c>
      <c r="B170" s="19" t="str">
        <f>IF(COUNTIF(AB_Table[],Table3[[#This Row],[Not Abbreviation]])&gt;0,VLOOKUP(Table3[[#This Row],[Not Abbreviation]],AB_Table[],2),"")</f>
        <v/>
      </c>
      <c r="C170" s="66" t="str">
        <f>IF(COUNTIF(Table3[Not Abbreviation],A170)&gt;1,"DOUBLE","")</f>
        <v/>
      </c>
    </row>
    <row r="171" spans="1:3" x14ac:dyDescent="0.25">
      <c r="A171" s="45" t="s">
        <v>1008</v>
      </c>
      <c r="B171" s="19" t="str">
        <f>IF(COUNTIF(AB_Table[],Table3[[#This Row],[Not Abbreviation]])&gt;0,VLOOKUP(Table3[[#This Row],[Not Abbreviation]],AB_Table[],2),"")</f>
        <v/>
      </c>
      <c r="C171" s="66" t="str">
        <f>IF(COUNTIF(Table3[Not Abbreviation],A171)&gt;1,"DOUBLE","")</f>
        <v/>
      </c>
    </row>
    <row r="172" spans="1:3" x14ac:dyDescent="0.25">
      <c r="A172" s="47" t="s">
        <v>1064</v>
      </c>
      <c r="B172" s="44" t="str">
        <f>IF(COUNTIF(AB_Table[],Table3[[#This Row],[Not Abbreviation]])&gt;0,VLOOKUP(Table3[[#This Row],[Not Abbreviation]],AB_Table[],2),"")</f>
        <v/>
      </c>
      <c r="C172" s="65" t="str">
        <f>IF(COUNTIF(Table3[Not Abbreviation],A172)&gt;1,"DOUBLE","")</f>
        <v/>
      </c>
    </row>
    <row r="173" spans="1:3" x14ac:dyDescent="0.25">
      <c r="A173" s="45" t="s">
        <v>1096</v>
      </c>
      <c r="B173" s="19" t="str">
        <f>IF(COUNTIF(AB_Table[],Table3[[#This Row],[Not Abbreviation]])&gt;0,VLOOKUP(Table3[[#This Row],[Not Abbreviation]],AB_Table[],2),"")</f>
        <v/>
      </c>
      <c r="C173" s="65" t="str">
        <f>IF(COUNTIF(Table3[Not Abbreviation],A173)&gt;1,"DOUBLE","")</f>
        <v/>
      </c>
    </row>
    <row r="174" spans="1:3" x14ac:dyDescent="0.25">
      <c r="A174" s="47" t="s">
        <v>973</v>
      </c>
      <c r="B174" s="44" t="str">
        <f>IF(COUNTIF(AB_Table[],Table3[[#This Row],[Not Abbreviation]])&gt;0,VLOOKUP(Table3[[#This Row],[Not Abbreviation]],AB_Table[],2),"")</f>
        <v/>
      </c>
      <c r="C174" s="66" t="str">
        <f>IF(COUNTIF(Table3[Not Abbreviation],A174)&gt;1,"DOUBLE","")</f>
        <v/>
      </c>
    </row>
    <row r="175" spans="1:3" x14ac:dyDescent="0.25">
      <c r="A175" s="47" t="s">
        <v>970</v>
      </c>
      <c r="B175" s="44" t="str">
        <f>IF(COUNTIF(AB_Table[],Table3[[#This Row],[Not Abbreviation]])&gt;0,VLOOKUP(Table3[[#This Row],[Not Abbreviation]],AB_Table[],2),"")</f>
        <v/>
      </c>
      <c r="C175" s="66" t="str">
        <f>IF(COUNTIF(Table3[Not Abbreviation],A175)&gt;1,"DOUBLE","")</f>
        <v/>
      </c>
    </row>
    <row r="176" spans="1:3" x14ac:dyDescent="0.25">
      <c r="A176" s="47" t="s">
        <v>963</v>
      </c>
      <c r="B176" s="44" t="str">
        <f>IF(COUNTIF(AB_Table[],Table3[[#This Row],[Not Abbreviation]])&gt;0,VLOOKUP(Table3[[#This Row],[Not Abbreviation]],AB_Table[],2),"")</f>
        <v/>
      </c>
      <c r="C176" s="66" t="str">
        <f>IF(COUNTIF(Table3[Not Abbreviation],A176)&gt;1,"DOUBLE","")</f>
        <v/>
      </c>
    </row>
    <row r="177" spans="1:3" x14ac:dyDescent="0.25">
      <c r="A177" s="47" t="s">
        <v>981</v>
      </c>
      <c r="B177" s="44" t="str">
        <f>IF(COUNTIF(AB_Table[],Table3[[#This Row],[Not Abbreviation]])&gt;0,VLOOKUP(Table3[[#This Row],[Not Abbreviation]],AB_Table[],2),"")</f>
        <v/>
      </c>
      <c r="C177" s="66" t="str">
        <f>IF(COUNTIF(Table3[Not Abbreviation],A177)&gt;1,"DOUBLE","")</f>
        <v/>
      </c>
    </row>
    <row r="178" spans="1:3" x14ac:dyDescent="0.25">
      <c r="A178" s="47" t="s">
        <v>1070</v>
      </c>
      <c r="B178" s="44" t="str">
        <f>IF(COUNTIF(AB_Table[],Table3[[#This Row],[Not Abbreviation]])&gt;0,VLOOKUP(Table3[[#This Row],[Not Abbreviation]],AB_Table[],2),"")</f>
        <v/>
      </c>
      <c r="C178" s="65" t="str">
        <f>IF(COUNTIF(Table3[Not Abbreviation],A178)&gt;1,"DOUBLE","")</f>
        <v/>
      </c>
    </row>
    <row r="179" spans="1:3" x14ac:dyDescent="0.25">
      <c r="A179" s="47" t="s">
        <v>936</v>
      </c>
      <c r="B179" s="44" t="str">
        <f>IF(COUNTIF(AB_Table[],Table3[[#This Row],[Not Abbreviation]])&gt;0,VLOOKUP(Table3[[#This Row],[Not Abbreviation]],AB_Table[],2),"")</f>
        <v/>
      </c>
      <c r="C179" s="65" t="str">
        <f>IF(COUNTIF(Table3[Not Abbreviation],A179)&gt;1,"DOUBLE","")</f>
        <v/>
      </c>
    </row>
    <row r="180" spans="1:3" x14ac:dyDescent="0.25">
      <c r="A180" s="47" t="s">
        <v>1034</v>
      </c>
      <c r="B180" s="44" t="str">
        <f>IF(COUNTIF(AB_Table[],Table3[[#This Row],[Not Abbreviation]])&gt;0,VLOOKUP(Table3[[#This Row],[Not Abbreviation]],AB_Table[],2),"")</f>
        <v/>
      </c>
      <c r="C180" s="66" t="str">
        <f>IF(COUNTIF(Table3[Not Abbreviation],A180)&gt;1,"DOUBLE","")</f>
        <v/>
      </c>
    </row>
    <row r="181" spans="1:3" x14ac:dyDescent="0.25">
      <c r="A181" s="47" t="s">
        <v>951</v>
      </c>
      <c r="B181" s="44" t="str">
        <f>IF(COUNTIF(AB_Table[],Table3[[#This Row],[Not Abbreviation]])&gt;0,VLOOKUP(Table3[[#This Row],[Not Abbreviation]],AB_Table[],2),"")</f>
        <v/>
      </c>
      <c r="C181" s="66" t="str">
        <f>IF(COUNTIF(Table3[Not Abbreviation],A181)&gt;1,"DOUBLE","")</f>
        <v/>
      </c>
    </row>
    <row r="182" spans="1:3" x14ac:dyDescent="0.25">
      <c r="A182" s="47" t="s">
        <v>956</v>
      </c>
      <c r="B182" s="44" t="str">
        <f>IF(COUNTIF(AB_Table[],Table3[[#This Row],[Not Abbreviation]])&gt;0,VLOOKUP(Table3[[#This Row],[Not Abbreviation]],AB_Table[],2),"")</f>
        <v/>
      </c>
      <c r="C182" s="66" t="str">
        <f>IF(COUNTIF(Table3[Not Abbreviation],A182)&gt;1,"DOUBLE","")</f>
        <v/>
      </c>
    </row>
    <row r="183" spans="1:3" x14ac:dyDescent="0.25">
      <c r="A183" s="47" t="s">
        <v>1081</v>
      </c>
      <c r="B183" s="44" t="str">
        <f>IF(COUNTIF(AB_Table[],Table3[[#This Row],[Not Abbreviation]])&gt;0,VLOOKUP(Table3[[#This Row],[Not Abbreviation]],AB_Table[],2),"")</f>
        <v/>
      </c>
      <c r="C183" s="65" t="str">
        <f>IF(COUNTIF(Table3[Not Abbreviation],A183)&gt;1,"DOUBLE","")</f>
        <v/>
      </c>
    </row>
    <row r="184" spans="1:3" x14ac:dyDescent="0.25">
      <c r="A184" s="47" t="s">
        <v>1104</v>
      </c>
      <c r="B184" s="44" t="str">
        <f>IF(COUNTIF(AB_Table[],Table3[[#This Row],[Not Abbreviation]])&gt;0,VLOOKUP(Table3[[#This Row],[Not Abbreviation]],AB_Table[],2),"")</f>
        <v/>
      </c>
      <c r="C184" s="65" t="str">
        <f>IF(COUNTIF(Table3[Not Abbreviation],A184)&gt;1,"DOUBLE","")</f>
        <v/>
      </c>
    </row>
    <row r="185" spans="1:3" x14ac:dyDescent="0.25">
      <c r="A185" s="47" t="s">
        <v>1126</v>
      </c>
      <c r="B185" s="44" t="str">
        <f>IF(COUNTIF(AB_Table[],Table3[[#This Row],[Not Abbreviation]])&gt;0,VLOOKUP(Table3[[#This Row],[Not Abbreviation]],AB_Table[],2),"")</f>
        <v/>
      </c>
      <c r="C185" s="65" t="str">
        <f>IF(COUNTIF(Table3[Not Abbreviation],A185)&gt;1,"DOUBLE","")</f>
        <v/>
      </c>
    </row>
    <row r="186" spans="1:3" x14ac:dyDescent="0.25">
      <c r="A186" s="47" t="s">
        <v>1111</v>
      </c>
      <c r="B186" s="44" t="str">
        <f>IF(COUNTIF(AB_Table[],Table3[[#This Row],[Not Abbreviation]])&gt;0,VLOOKUP(Table3[[#This Row],[Not Abbreviation]],AB_Table[],2),"")</f>
        <v/>
      </c>
      <c r="C186" s="66" t="str">
        <f>IF(COUNTIF(Table3[Not Abbreviation],A186)&gt;1,"DOUBLE","")</f>
        <v/>
      </c>
    </row>
    <row r="187" spans="1:3" x14ac:dyDescent="0.25">
      <c r="A187" s="47" t="s">
        <v>1050</v>
      </c>
      <c r="B187" s="44" t="str">
        <f>IF(COUNTIF(AB_Table[],Table3[[#This Row],[Not Abbreviation]])&gt;0,VLOOKUP(Table3[[#This Row],[Not Abbreviation]],AB_Table[],2),"")</f>
        <v/>
      </c>
      <c r="C187" s="66" t="str">
        <f>IF(COUNTIF(Table3[Not Abbreviation],A187)&gt;1,"DOUBLE","")</f>
        <v/>
      </c>
    </row>
    <row r="188" spans="1:3" x14ac:dyDescent="0.25">
      <c r="A188" s="47" t="s">
        <v>1031</v>
      </c>
      <c r="B188" s="44" t="str">
        <f>IF(COUNTIF(AB_Table[],Table3[[#This Row],[Not Abbreviation]])&gt;0,VLOOKUP(Table3[[#This Row],[Not Abbreviation]],AB_Table[],2),"")</f>
        <v/>
      </c>
      <c r="C188" s="66" t="str">
        <f>IF(COUNTIF(Table3[Not Abbreviation],A188)&gt;1,"DOUBLE","")</f>
        <v/>
      </c>
    </row>
    <row r="189" spans="1:3" x14ac:dyDescent="0.25">
      <c r="A189" s="47" t="s">
        <v>1089</v>
      </c>
      <c r="B189" s="44" t="str">
        <f>IF(COUNTIF(AB_Table[],Table3[[#This Row],[Not Abbreviation]])&gt;0,VLOOKUP(Table3[[#This Row],[Not Abbreviation]],AB_Table[],2),"")</f>
        <v/>
      </c>
      <c r="C189" s="65" t="str">
        <f>IF(COUNTIF(Table3[Not Abbreviation],A189)&gt;1,"DOUBLE","")</f>
        <v/>
      </c>
    </row>
    <row r="190" spans="1:3" x14ac:dyDescent="0.25">
      <c r="A190" s="47" t="s">
        <v>1146</v>
      </c>
      <c r="B190" s="44" t="str">
        <f>IF(COUNTIF(AB_Table[],Table3[[#This Row],[Not Abbreviation]])&gt;0,VLOOKUP(Table3[[#This Row],[Not Abbreviation]],AB_Table[],2),"")</f>
        <v/>
      </c>
      <c r="C190" s="65" t="str">
        <f>IF(COUNTIF(Table3[Not Abbreviation],A190)&gt;1,"DOUBLE","")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"/>
  <sheetViews>
    <sheetView workbookViewId="0">
      <selection activeCell="A442" sqref="A442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rowseFilePath">
                <anchor moveWithCells="1" sizeWithCells="1">
                  <from>
                    <xdr:col>0</xdr:col>
                    <xdr:colOff>381000</xdr:colOff>
                    <xdr:row>4</xdr:row>
                    <xdr:rowOff>9525</xdr:rowOff>
                  </from>
                  <to>
                    <xdr:col>6</xdr:col>
                    <xdr:colOff>419100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3"/>
  <sheetViews>
    <sheetView zoomScaleNormal="100" workbookViewId="0">
      <selection activeCell="B24" sqref="B24"/>
    </sheetView>
  </sheetViews>
  <sheetFormatPr defaultRowHeight="15" x14ac:dyDescent="0.25"/>
  <cols>
    <col min="1" max="1" width="11" customWidth="1"/>
    <col min="2" max="2" width="56.7109375" bestFit="1" customWidth="1"/>
  </cols>
  <sheetData>
    <row r="1" spans="1:5" x14ac:dyDescent="0.25">
      <c r="A1" t="s">
        <v>436</v>
      </c>
      <c r="B1" t="s">
        <v>345</v>
      </c>
      <c r="C1" t="s">
        <v>179</v>
      </c>
      <c r="E1" s="68" t="s">
        <v>1114</v>
      </c>
    </row>
    <row r="2" spans="1:5" x14ac:dyDescent="0.25">
      <c r="A2" s="35" t="s">
        <v>435</v>
      </c>
      <c r="B2" s="19" t="str">
        <f>IF(COUNTIF(AB_Table[],Table35791213467[[#This Row],[Column12]])&gt;0,VLOOKUP(Table35791213467[[#This Row],[Column12]],AB_Table[],2),"")</f>
        <v>Approved for Construction</v>
      </c>
      <c r="C2" s="30" t="str">
        <f>IF(COUNTIF(Table35791213467[Column12],A2)&gt;1,"DOUBLE","")</f>
        <v/>
      </c>
    </row>
    <row r="3" spans="1:5" x14ac:dyDescent="0.25">
      <c r="A3" s="35" t="s">
        <v>3</v>
      </c>
      <c r="B3" s="19" t="str">
        <f>IF(COUNTIF(AB_Table[],Table35791213467[[#This Row],[Column12]])&gt;0,VLOOKUP(Table35791213467[[#This Row],[Column12]],AB_Table[],2),"")</f>
        <v>Approved for Design</v>
      </c>
      <c r="C3" s="30" t="str">
        <f>IF(COUNTIF(Table35791213467[Column12],A3)&gt;1,"DOUBLE","")</f>
        <v/>
      </c>
    </row>
    <row r="4" spans="1:5" x14ac:dyDescent="0.25">
      <c r="A4" s="37" t="s">
        <v>323</v>
      </c>
      <c r="B4" s="19" t="str">
        <f>IF(COUNTIF(AB_Table[],Table35791213467[[#This Row],[Column12]])&gt;0,VLOOKUP(Table35791213467[[#This Row],[Column12]],AB_Table[],2),"")</f>
        <v>ArcticNefteGasStroy Early Civil Works Subcontractor</v>
      </c>
      <c r="C4" s="30" t="str">
        <f>IF(COUNTIF(Table35791213467[Column12],A4)&gt;1,"DOUBLE","")</f>
        <v/>
      </c>
    </row>
    <row r="5" spans="1:5" x14ac:dyDescent="0.25">
      <c r="A5" s="35" t="s">
        <v>16</v>
      </c>
      <c r="B5" s="19" t="str">
        <f>IF(COUNTIF(AB_Table[],Table35791213467[[#This Row],[Column12]])&gt;0,VLOOKUP(Table35791213467[[#This Row],[Column12]],AB_Table[],2),"")</f>
        <v>Beach Landing Facilities</v>
      </c>
      <c r="C5" s="30" t="str">
        <f>IF(COUNTIF(Table35791213467[Column12],A5)&gt;1,"DOUBLE","")</f>
        <v/>
      </c>
    </row>
    <row r="6" spans="1:5" x14ac:dyDescent="0.25">
      <c r="A6" s="35" t="s">
        <v>17</v>
      </c>
      <c r="B6" s="19" t="str">
        <f>IF(COUNTIF(AB_Table[],Table35791213467[[#This Row],[Column12]])&gt;0,VLOOKUP(Table35791213467[[#This Row],[Column12]],AB_Table[],2),"")</f>
        <v>Battery Limit Station</v>
      </c>
      <c r="C6" s="30" t="str">
        <f>IF(COUNTIF(Table35791213467[Column12],A6)&gt;1,"DOUBLE","")</f>
        <v/>
      </c>
    </row>
    <row r="7" spans="1:5" x14ac:dyDescent="0.25">
      <c r="A7" s="35" t="s">
        <v>37</v>
      </c>
      <c r="B7" s="19" t="str">
        <f>IF(COUNTIF(AB_Table[],Table35791213467[[#This Row],[Column12]])&gt;0,VLOOKUP(Table35791213467[[#This Row],[Column12]],AB_Table[],2),"")</f>
        <v>Emergency Diesel Generator</v>
      </c>
      <c r="C7" s="30" t="str">
        <f>IF(COUNTIF(Table35791213467[Column12],A7)&gt;1,"DOUBLE","")</f>
        <v/>
      </c>
    </row>
    <row r="8" spans="1:5" x14ac:dyDescent="0.25">
      <c r="A8" s="35" t="s">
        <v>431</v>
      </c>
      <c r="B8" s="19" t="str">
        <f>IF(COUNTIF(AB_Table[],Table35791213467[[#This Row],[Column12]])&gt;0,VLOOKUP(Table35791213467[[#This Row],[Column12]],AB_Table[],2),"")</f>
        <v>Electrical heat tracing</v>
      </c>
      <c r="C8" s="30" t="str">
        <f>IF(COUNTIF(Table35791213467[Column12],A8)&gt;1,"DOUBLE","")</f>
        <v/>
      </c>
    </row>
    <row r="9" spans="1:5" x14ac:dyDescent="0.25">
      <c r="A9" s="35" t="s">
        <v>199</v>
      </c>
      <c r="B9" s="19" t="str">
        <f>IF(COUNTIF(AB_Table[],Table35791213467[[#This Row],[Column12]])&gt;0,VLOOKUP(Table35791213467[[#This Row],[Column12]],AB_Table[],2),"")</f>
        <v>Engineering Procurement Construction</v>
      </c>
      <c r="C9" s="30" t="str">
        <f>IF(COUNTIF(Table35791213467[Column12],A9)&gt;1,"DOUBLE","")</f>
        <v/>
      </c>
    </row>
    <row r="10" spans="1:5" x14ac:dyDescent="0.25">
      <c r="A10" s="37" t="s">
        <v>442</v>
      </c>
      <c r="B10" s="19" t="str">
        <f>IF(COUNTIF(AB_Table[],Table35791213467[[#This Row],[Column12]])&gt;0,VLOOKUP(Table35791213467[[#This Row],[Column12]],AB_Table[],2),"")</f>
        <v>Hazards and Effects Management Process</v>
      </c>
      <c r="C10" s="30" t="str">
        <f>IF(COUNTIF(Table35791213467[Column12],A10)&gt;1,"DOUBLE","")</f>
        <v/>
      </c>
    </row>
    <row r="11" spans="1:5" x14ac:dyDescent="0.25">
      <c r="A11" s="35" t="s">
        <v>344</v>
      </c>
      <c r="B11" s="19" t="str">
        <f>IF(COUNTIF(AB_Table[],Table35791213467[[#This Row],[Column12]])&gt;0,VLOOKUP(Table35791213467[[#This Row],[Column12]],AB_Table[],2),"")</f>
        <v>Health, safety, environment</v>
      </c>
      <c r="C11" s="30" t="str">
        <f>IF(COUNTIF(Table35791213467[Column12],A11)&gt;1,"DOUBLE","")</f>
        <v/>
      </c>
    </row>
    <row r="12" spans="1:5" x14ac:dyDescent="0.25">
      <c r="A12" s="35" t="s">
        <v>499</v>
      </c>
      <c r="B12" s="19" t="str">
        <f>IF(COUNTIF(AB_Table[],Table35791213467[[#This Row],[Column12]])&gt;0,VLOOKUP(Table35791213467[[#This Row],[Column12]],AB_Table[],2),"")</f>
        <v xml:space="preserve">Health, safety, security and environment </v>
      </c>
      <c r="C12" s="30" t="str">
        <f>IF(COUNTIF(Table35791213467[Column12],A12)&gt;1,"DOUBLE","")</f>
        <v/>
      </c>
    </row>
    <row r="13" spans="1:5" x14ac:dyDescent="0.25">
      <c r="A13" s="35" t="s">
        <v>66</v>
      </c>
      <c r="B13" s="19" t="str">
        <f>IF(COUNTIF(AB_Table[],Table35791213467[[#This Row],[Column12]])&gt;0,VLOOKUP(Table35791213467[[#This Row],[Column12]],AB_Table[],2),"")</f>
        <v>High Voltage</v>
      </c>
      <c r="C13" s="30" t="str">
        <f>IF(COUNTIF(Table35791213467[Column12],A13)&gt;1,"DOUBLE","")</f>
        <v/>
      </c>
    </row>
    <row r="14" spans="1:5" x14ac:dyDescent="0.25">
      <c r="A14" s="35" t="s">
        <v>240</v>
      </c>
      <c r="B14" s="19" t="str">
        <f>IF(COUNTIF(AB_Table[],Table35791213467[[#This Row],[Column12]])&gt;0,VLOOKUP(Table35791213467[[#This Row],[Column12]],AB_Table[],2),"")</f>
        <v xml:space="preserve">Heating, ventilation, and air conditioning </v>
      </c>
      <c r="C14" s="30" t="str">
        <f>IF(COUNTIF(Table35791213467[Column12],A14)&gt;1,"DOUBLE","")</f>
        <v/>
      </c>
    </row>
    <row r="15" spans="1:5" x14ac:dyDescent="0.25">
      <c r="A15" s="35" t="s">
        <v>68</v>
      </c>
      <c r="B15" s="19" t="str">
        <f>IF(COUNTIF(AB_Table[],Table35791213467[[#This Row],[Column12]])&gt;0,VLOOKUP(Table35791213467[[#This Row],[Column12]],AB_Table[],2),"")</f>
        <v>Issued for Review</v>
      </c>
      <c r="C15" s="30" t="str">
        <f>IF(COUNTIF(Table35791213467[Column12],A15)&gt;1,"DOUBLE","")</f>
        <v/>
      </c>
    </row>
    <row r="16" spans="1:5" x14ac:dyDescent="0.25">
      <c r="A16" s="35" t="s">
        <v>232</v>
      </c>
      <c r="B16" s="19" t="str">
        <f>IF(COUNTIF(AB_Table[],Table35791213467[[#This Row],[Column12]])&gt;0,VLOOKUP(Table35791213467[[#This Row],[Column12]],AB_Table[],2),"")</f>
        <v>Industry Recommended Practice</v>
      </c>
      <c r="C16" s="30" t="str">
        <f>IF(COUNTIF(Table35791213467[Column12],A16)&gt;1,"DOUBLE","")</f>
        <v/>
      </c>
    </row>
    <row r="17" spans="1:3" x14ac:dyDescent="0.25">
      <c r="A17" s="37" t="s">
        <v>447</v>
      </c>
      <c r="B17" s="19" t="str">
        <f>IF(COUNTIF(AB_Table[],Table35791213467[[#This Row],[Column12]])&gt;0,VLOOKUP(Table35791213467[[#This Row],[Column12]],AB_Table[],2),"")</f>
        <v xml:space="preserve">Job Safety Analysis </v>
      </c>
      <c r="C17" s="30" t="str">
        <f>IF(COUNTIF(Table35791213467[Column12],A17)&gt;1,"DOUBLE","")</f>
        <v/>
      </c>
    </row>
    <row r="18" spans="1:3" x14ac:dyDescent="0.25">
      <c r="A18" s="35" t="s">
        <v>432</v>
      </c>
      <c r="B18" s="19" t="str">
        <f>IF(COUNTIF(AB_Table[],Table35791213467[[#This Row],[Column12]])&gt;0,VLOOKUP(Table35791213467[[#This Row],[Column12]],AB_Table[],2),"")</f>
        <v>Local equipment room</v>
      </c>
      <c r="C18" s="30" t="str">
        <f>IF(COUNTIF(Table35791213467[Column12],A18)&gt;1,"DOUBLE","")</f>
        <v/>
      </c>
    </row>
    <row r="19" spans="1:3" x14ac:dyDescent="0.25">
      <c r="A19" s="35" t="s">
        <v>115</v>
      </c>
      <c r="B19" s="19" t="str">
        <f>IF(COUNTIF(AB_Table[],Table35791213467[[#This Row],[Column12]])&gt;0,VLOOKUP(Table35791213467[[#This Row],[Column12]],AB_Table[],2),"")</f>
        <v>Onshore Processing Facility</v>
      </c>
      <c r="C19" s="30" t="str">
        <f>IF(COUNTIF(Table35791213467[Column12],A19)&gt;1,"DOUBLE","")</f>
        <v/>
      </c>
    </row>
    <row r="20" spans="1:3" x14ac:dyDescent="0.25">
      <c r="A20" s="35" t="s">
        <v>116</v>
      </c>
      <c r="B20" s="19" t="str">
        <f>IF(COUNTIF(AB_Table[],Table35791213467[[#This Row],[Column12]])&gt;0,VLOOKUP(Table35791213467[[#This Row],[Column12]],AB_Table[],2),"")</f>
        <v>Onshore Processing Facility Compression</v>
      </c>
      <c r="C20" s="30" t="str">
        <f>IF(COUNTIF(Table35791213467[Column12],A20)&gt;1,"DOUBLE","")</f>
        <v/>
      </c>
    </row>
    <row r="21" spans="1:3" x14ac:dyDescent="0.25">
      <c r="A21" s="35" t="s">
        <v>170</v>
      </c>
      <c r="B21" s="19" t="str">
        <f>IF(COUNTIF(AB_Table[],Table35791213467[[#This Row],[Column12]])&gt;0,VLOOKUP(Table35791213467[[#This Row],[Column12]],AB_Table[],2),"")</f>
        <v>Petrofac Facilities Management Limited</v>
      </c>
      <c r="C21" s="30" t="str">
        <f>IF(COUNTIF(Table35791213467[Column12],A21)&gt;1,"DOUBLE","")</f>
        <v/>
      </c>
    </row>
    <row r="22" spans="1:3" x14ac:dyDescent="0.25">
      <c r="A22" s="35" t="s">
        <v>450</v>
      </c>
      <c r="B22" s="19" t="str">
        <f>IF(COUNTIF(AB_Table[],Table35791213467[[#This Row],[Column12]])&gt;0,VLOOKUP(Table35791213467[[#This Row],[Column12]],AB_Table[],2),"")</f>
        <v>Project Services Network</v>
      </c>
      <c r="C22" s="30" t="str">
        <f>IF(COUNTIF(Table35791213467[Column12],A22)&gt;1,"DOUBLE","")</f>
        <v/>
      </c>
    </row>
    <row r="23" spans="1:3" x14ac:dyDescent="0.25">
      <c r="A23" s="35" t="s">
        <v>451</v>
      </c>
      <c r="B23" s="19" t="str">
        <f>IF(COUNTIF(AB_Table[],Table35791213467[[#This Row],[Column12]])&gt;0,VLOOKUP(Table35791213467[[#This Row],[Column12]],AB_Table[],2),"")</f>
        <v>Project Services Network Sakhalin</v>
      </c>
      <c r="C23" s="30" t="str">
        <f>IF(COUNTIF(Table35791213467[Column12],A23)&gt;1,"DOUBLE","")</f>
        <v/>
      </c>
    </row>
    <row r="24" spans="1:3" x14ac:dyDescent="0.25">
      <c r="A24" s="35" t="s">
        <v>452</v>
      </c>
      <c r="B24" s="19" t="str">
        <f>IF(COUNTIF(AB_Table[],Table35791213467[[#This Row],[Column12]])&gt;0,VLOOKUP(Table35791213467[[#This Row],[Column12]],AB_Table[],2),"")</f>
        <v>Permit to work</v>
      </c>
      <c r="C24" s="30" t="str">
        <f>IF(COUNTIF(Table35791213467[Column12],A24)&gt;1,"DOUBLE","")</f>
        <v/>
      </c>
    </row>
    <row r="25" spans="1:3" x14ac:dyDescent="0.25">
      <c r="A25" s="35" t="s">
        <v>462</v>
      </c>
      <c r="B25" s="19" t="str">
        <f>IF(COUNTIF(AB_Table[],Table35791213467[[#This Row],[Column12]])&gt;0,VLOOKUP(Table35791213467[[#This Row],[Column12]],AB_Table[],2),"")</f>
        <v>Subcontractor</v>
      </c>
      <c r="C25" s="30" t="str">
        <f>IF(COUNTIF(Table35791213467[Column12],A25)&gt;1,"DOUBLE","")</f>
        <v/>
      </c>
    </row>
    <row r="26" spans="1:3" x14ac:dyDescent="0.25">
      <c r="A26" s="37" t="s">
        <v>502</v>
      </c>
      <c r="B26" s="19" t="str">
        <f>IF(COUNTIF(AB_Table[],Table35791213467[[#This Row],[Column12]])&gt;0,VLOOKUP(Table35791213467[[#This Row],[Column12]],AB_Table[],2),"")</f>
        <v>Subcontractor</v>
      </c>
      <c r="C26" s="30" t="str">
        <f>IF(COUNTIF(Table35791213467[Column12],A26)&gt;1,"DOUBLE","")</f>
        <v/>
      </c>
    </row>
    <row r="27" spans="1:3" x14ac:dyDescent="0.25">
      <c r="A27" s="35" t="s">
        <v>454</v>
      </c>
      <c r="B27" s="19" t="str">
        <f>IF(COUNTIF(AB_Table[],Table35791213467[[#This Row],[Column12]])&gt;0,VLOOKUP(Table35791213467[[#This Row],[Column12]],AB_Table[],2),"")</f>
        <v>SakhalinMorNeftemontazh VECO</v>
      </c>
      <c r="C27" s="30" t="str">
        <f>IF(COUNTIF(Table35791213467[Column12],A27)&gt;1,"DOUBLE","")</f>
        <v/>
      </c>
    </row>
    <row r="28" spans="1:3" x14ac:dyDescent="0.25">
      <c r="A28" s="35" t="s">
        <v>455</v>
      </c>
      <c r="B28" s="19" t="str">
        <f>IF(COUNTIF(AB_Table[],Table35791213467[[#This Row],[Column12]])&gt;0,VLOOKUP(Table35791213467[[#This Row],[Column12]],AB_Table[],2),"")</f>
        <v>Sanitary treatment plant</v>
      </c>
      <c r="C28" s="30" t="str">
        <f>IF(COUNTIF(Table35791213467[Column12],A28)&gt;1,"DOUBLE","")</f>
        <v/>
      </c>
    </row>
    <row r="29" spans="1:3" x14ac:dyDescent="0.25">
      <c r="A29" s="35" t="s">
        <v>424</v>
      </c>
      <c r="B29" s="19" t="str">
        <f>IF(COUNTIF(AB_Table[],Table35791213467[[#This Row],[Column12]])&gt;0,VLOOKUP(Table35791213467[[#This Row],[Column12]],AB_Table[],2),"")</f>
        <v>Temporary Construction Facilities</v>
      </c>
      <c r="C29" s="30" t="str">
        <f>IF(COUNTIF(Table35791213467[Column12],A29)&gt;1,"DOUBLE","")</f>
        <v/>
      </c>
    </row>
    <row r="30" spans="1:3" x14ac:dyDescent="0.25">
      <c r="A30" s="35" t="s">
        <v>426</v>
      </c>
      <c r="B30" s="19" t="str">
        <f>IF(COUNTIF(AB_Table[],Table35791213467[[#This Row],[Column12]])&gt;0,VLOOKUP(Table35791213467[[#This Row],[Column12]],AB_Table[],2),"")</f>
        <v>Temporary Site Facilities</v>
      </c>
      <c r="C30" s="30" t="str">
        <f>IF(COUNTIF(Table35791213467[Column12],A30)&gt;1,"DOUBLE","")</f>
        <v/>
      </c>
    </row>
    <row r="31" spans="1:3" x14ac:dyDescent="0.25">
      <c r="A31" s="35" t="s">
        <v>617</v>
      </c>
      <c r="B31" s="19" t="str">
        <f>IF(COUNTIF(AB_Table[],Table35791213467[[#This Row],[Column12]])&gt;0,VLOOKUP(Table35791213467[[#This Row],[Column12]],AB_Table[],2),"")</f>
        <v>Work Plan</v>
      </c>
      <c r="C31" s="30" t="str">
        <f>IF(COUNTIF(Table35791213467[Column12],A31)&gt;1,"DOUBLE","")</f>
        <v/>
      </c>
    </row>
    <row r="32" spans="1:3" x14ac:dyDescent="0.25">
      <c r="A32" s="35" t="s">
        <v>500</v>
      </c>
      <c r="B32" s="19" t="str">
        <f>IF(COUNTIF(AB_Table[],Table35791213467[[#This Row],[Column12]])&gt;0,VLOOKUP(Table35791213467[[#This Row],[Column12]],AB_Table[],2),"")</f>
        <v>Pacific Rim Construction</v>
      </c>
      <c r="C32" s="30" t="str">
        <f>IF(COUNTIF(Table35791213467[Column12],A32)&gt;1,"DOUBLE","")</f>
        <v/>
      </c>
    </row>
    <row r="33" spans="1:3" x14ac:dyDescent="0.25">
      <c r="A33" s="35" t="s">
        <v>548</v>
      </c>
      <c r="B33" s="19" t="str">
        <f>IF(COUNTIF(AB_Table[],Table35791213467[[#This Row],[Column12]])&gt;0,VLOOKUP(Table35791213467[[#This Row],[Column12]],AB_Table[],2),"")</f>
        <v xml:space="preserve">Sewage Water Treatment Plant </v>
      </c>
      <c r="C33" s="30" t="str">
        <f>IF(COUNTIF(Table35791213467[Column12],A33)&gt;1,"DOUBLE","")</f>
        <v/>
      </c>
    </row>
    <row r="34" spans="1:3" x14ac:dyDescent="0.25">
      <c r="A34" s="35" t="s">
        <v>272</v>
      </c>
      <c r="B34" s="19" t="str">
        <f>IF(COUNTIF(AB_Table[],Table35791213467[[#This Row],[Column12]])&gt;0,VLOOKUP(Table35791213467[[#This Row],[Column12]],AB_Table[],2),"")</f>
        <v>Field Auxiliary Room</v>
      </c>
      <c r="C34" s="30" t="str">
        <f>IF(COUNTIF(Table35791213467[Column12],A34)&gt;1,"DOUBLE","")</f>
        <v/>
      </c>
    </row>
    <row r="35" spans="1:3" x14ac:dyDescent="0.25">
      <c r="A35" s="35"/>
      <c r="B35" s="19" t="str">
        <f>IF(COUNTIF(AB_Table[],Table35791213467[[#This Row],[Column12]])&gt;0,VLOOKUP(Table35791213467[[#This Row],[Column12]],AB_Table[],2),"")</f>
        <v/>
      </c>
      <c r="C35" s="30" t="str">
        <f>IF(COUNTIF(Table35791213467[Column12],A35)&gt;1,"DOUBLE","")</f>
        <v/>
      </c>
    </row>
    <row r="36" spans="1:3" x14ac:dyDescent="0.25">
      <c r="A36" s="35"/>
      <c r="B36" s="19" t="str">
        <f>IF(COUNTIF(AB_Table[],Table35791213467[[#This Row],[Column12]])&gt;0,VLOOKUP(Table35791213467[[#This Row],[Column12]],AB_Table[],2),"")</f>
        <v/>
      </c>
      <c r="C36" s="30" t="str">
        <f>IF(COUNTIF(Table35791213467[Column12],A36)&gt;1,"DOUBLE","")</f>
        <v/>
      </c>
    </row>
    <row r="37" spans="1:3" x14ac:dyDescent="0.25">
      <c r="A37" s="38"/>
      <c r="B37" s="19" t="str">
        <f>IF(COUNTIF(AB_Table[],Table35791213467[[#This Row],[Column12]])&gt;0,VLOOKUP(Table35791213467[[#This Row],[Column12]],AB_Table[],2),"")</f>
        <v/>
      </c>
      <c r="C37" s="30" t="str">
        <f>IF(COUNTIF(Table35791213467[Column12],A37)&gt;1,"DOUBLE","")</f>
        <v/>
      </c>
    </row>
    <row r="38" spans="1:3" x14ac:dyDescent="0.25">
      <c r="A38" s="35"/>
      <c r="B38" s="19" t="str">
        <f>IF(COUNTIF(AB_Table[],Table35791213467[[#This Row],[Column12]])&gt;0,VLOOKUP(Table35791213467[[#This Row],[Column12]],AB_Table[],2),"")</f>
        <v/>
      </c>
      <c r="C38" s="30" t="str">
        <f>IF(COUNTIF(Table35791213467[Column12],A38)&gt;1,"DOUBLE","")</f>
        <v/>
      </c>
    </row>
    <row r="39" spans="1:3" x14ac:dyDescent="0.25">
      <c r="A39" s="37"/>
      <c r="B39" s="19" t="str">
        <f>IF(COUNTIF(AB_Table[],Table35791213467[[#This Row],[Column12]])&gt;0,VLOOKUP(Table35791213467[[#This Row],[Column12]],AB_Table[],2),"")</f>
        <v/>
      </c>
      <c r="C39" s="30" t="str">
        <f>IF(COUNTIF(Table35791213467[Column12],A39)&gt;1,"DOUBLE","")</f>
        <v/>
      </c>
    </row>
    <row r="40" spans="1:3" x14ac:dyDescent="0.25">
      <c r="A40" s="35"/>
      <c r="B40" s="19" t="str">
        <f>IF(COUNTIF(AB_Table[],Table35791213467[[#This Row],[Column12]])&gt;0,VLOOKUP(Table35791213467[[#This Row],[Column12]],AB_Table[],2),"")</f>
        <v/>
      </c>
      <c r="C40" s="30" t="str">
        <f>IF(COUNTIF(Table35791213467[Column12],A40)&gt;1,"DOUBLE","")</f>
        <v/>
      </c>
    </row>
    <row r="41" spans="1:3" x14ac:dyDescent="0.25">
      <c r="A41" s="35"/>
      <c r="B41" s="19" t="str">
        <f>IF(COUNTIF(AB_Table[],Table35791213467[[#This Row],[Column12]])&gt;0,VLOOKUP(Table35791213467[[#This Row],[Column12]],AB_Table[],2),"")</f>
        <v/>
      </c>
      <c r="C41" s="30" t="str">
        <f>IF(COUNTIF(Table35791213467[Column12],A41)&gt;1,"DOUBLE","")</f>
        <v/>
      </c>
    </row>
    <row r="42" spans="1:3" x14ac:dyDescent="0.25">
      <c r="A42" s="35"/>
      <c r="B42" s="19" t="str">
        <f>IF(COUNTIF(AB_Table[],Table35791213467[[#This Row],[Column12]])&gt;0,VLOOKUP(Table35791213467[[#This Row],[Column12]],AB_Table[],2),"")</f>
        <v/>
      </c>
      <c r="C42" s="30" t="str">
        <f>IF(COUNTIF(Table35791213467[Column12],A42)&gt;1,"DOUBLE","")</f>
        <v/>
      </c>
    </row>
    <row r="43" spans="1:3" x14ac:dyDescent="0.25">
      <c r="A43" s="35"/>
      <c r="B43" s="19" t="str">
        <f>IF(COUNTIF(AB_Table[],Table35791213467[[#This Row],[Column12]])&gt;0,VLOOKUP(Table35791213467[[#This Row],[Column12]],AB_Table[],2),"")</f>
        <v/>
      </c>
      <c r="C43" s="30" t="str">
        <f>IF(COUNTIF(Table35791213467[Column12],A43)&gt;1,"DOUBLE","")</f>
        <v/>
      </c>
    </row>
    <row r="44" spans="1:3" x14ac:dyDescent="0.25">
      <c r="A44" s="35"/>
      <c r="B44" s="19" t="str">
        <f>IF(COUNTIF(AB_Table[],Table35791213467[[#This Row],[Column12]])&gt;0,VLOOKUP(Table35791213467[[#This Row],[Column12]],AB_Table[],2),"")</f>
        <v/>
      </c>
      <c r="C44" s="30" t="str">
        <f>IF(COUNTIF(Table35791213467[Column12],A44)&gt;1,"DOUBLE","")</f>
        <v/>
      </c>
    </row>
    <row r="45" spans="1:3" x14ac:dyDescent="0.25">
      <c r="A45" s="35"/>
      <c r="B45" s="19" t="str">
        <f>IF(COUNTIF(AB_Table[],Table35791213467[[#This Row],[Column12]])&gt;0,VLOOKUP(Table35791213467[[#This Row],[Column12]],AB_Table[],2),"")</f>
        <v/>
      </c>
      <c r="C45" s="30" t="str">
        <f>IF(COUNTIF(Table35791213467[Column12],A45)&gt;1,"DOUBLE","")</f>
        <v/>
      </c>
    </row>
    <row r="46" spans="1:3" x14ac:dyDescent="0.25">
      <c r="A46" s="35"/>
      <c r="B46" s="19" t="str">
        <f>IF(COUNTIF(AB_Table[],Table35791213467[[#This Row],[Column12]])&gt;0,VLOOKUP(Table35791213467[[#This Row],[Column12]],AB_Table[],2),"")</f>
        <v/>
      </c>
      <c r="C46" s="30" t="str">
        <f>IF(COUNTIF(Table35791213467[Column12],A46)&gt;1,"DOUBLE","")</f>
        <v/>
      </c>
    </row>
    <row r="47" spans="1:3" x14ac:dyDescent="0.25">
      <c r="A47" s="37"/>
      <c r="B47" s="19" t="str">
        <f>IF(COUNTIF(AB_Table[],Table35791213467[[#This Row],[Column12]])&gt;0,VLOOKUP(Table35791213467[[#This Row],[Column12]],AB_Table[],2),"")</f>
        <v/>
      </c>
      <c r="C47" s="30" t="str">
        <f>IF(COUNTIF(Table35791213467[Column12],A47)&gt;1,"DOUBLE","")</f>
        <v/>
      </c>
    </row>
    <row r="48" spans="1:3" x14ac:dyDescent="0.25">
      <c r="A48" s="35"/>
      <c r="B48" s="19" t="str">
        <f>IF(COUNTIF(AB_Table[],Table35791213467[[#This Row],[Column12]])&gt;0,VLOOKUP(Table35791213467[[#This Row],[Column12]],AB_Table[],2),"")</f>
        <v/>
      </c>
      <c r="C48" s="30" t="str">
        <f>IF(COUNTIF(Table35791213467[Column12],A48)&gt;1,"DOUBLE","")</f>
        <v/>
      </c>
    </row>
    <row r="49" spans="1:3" x14ac:dyDescent="0.25">
      <c r="A49" s="35"/>
      <c r="B49" s="19" t="str">
        <f>IF(COUNTIF(AB_Table[],Table35791213467[[#This Row],[Column12]])&gt;0,VLOOKUP(Table35791213467[[#This Row],[Column12]],AB_Table[],2),"")</f>
        <v/>
      </c>
      <c r="C49" s="30" t="str">
        <f>IF(COUNTIF(Table35791213467[Column12],A49)&gt;1,"DOUBLE","")</f>
        <v/>
      </c>
    </row>
    <row r="50" spans="1:3" x14ac:dyDescent="0.25">
      <c r="A50" s="38"/>
      <c r="B50" s="19" t="str">
        <f>IF(COUNTIF(AB_Table[],Table35791213467[[#This Row],[Column12]])&gt;0,VLOOKUP(Table35791213467[[#This Row],[Column12]],AB_Table[],2),"")</f>
        <v/>
      </c>
      <c r="C50" s="30" t="str">
        <f>IF(COUNTIF(Table35791213467[Column12],A50)&gt;1,"DOUBLE","")</f>
        <v/>
      </c>
    </row>
    <row r="51" spans="1:3" x14ac:dyDescent="0.25">
      <c r="A51" s="35"/>
      <c r="B51" s="19" t="str">
        <f>IF(COUNTIF(AB_Table[],Table35791213467[[#This Row],[Column12]])&gt;0,VLOOKUP(Table35791213467[[#This Row],[Column12]],AB_Table[],2),"")</f>
        <v/>
      </c>
      <c r="C51" s="30" t="str">
        <f>IF(COUNTIF(Table35791213467[Column12],A51)&gt;1,"DOUBLE","")</f>
        <v/>
      </c>
    </row>
    <row r="52" spans="1:3" x14ac:dyDescent="0.25">
      <c r="A52" s="37"/>
      <c r="B52" s="19" t="str">
        <f>IF(COUNTIF(AB_Table[],Table35791213467[[#This Row],[Column12]])&gt;0,VLOOKUP(Table35791213467[[#This Row],[Column12]],AB_Table[],2),"")</f>
        <v/>
      </c>
      <c r="C52" s="30" t="str">
        <f>IF(COUNTIF(Table35791213467[Column12],A52)&gt;1,"DOUBLE","")</f>
        <v/>
      </c>
    </row>
    <row r="53" spans="1:3" x14ac:dyDescent="0.25">
      <c r="A53" s="35"/>
      <c r="B53" s="19" t="str">
        <f>IF(COUNTIF(AB_Table[],Table35791213467[[#This Row],[Column12]])&gt;0,VLOOKUP(Table35791213467[[#This Row],[Column12]],AB_Table[],2),"")</f>
        <v/>
      </c>
      <c r="C53" s="30" t="str">
        <f>IF(COUNTIF(Table35791213467[Column12],A53)&gt;1,"DOUBLE","")</f>
        <v/>
      </c>
    </row>
    <row r="54" spans="1:3" x14ac:dyDescent="0.25">
      <c r="A54" s="37"/>
      <c r="B54" s="19" t="str">
        <f>IF(COUNTIF(AB_Table[],Table35791213467[[#This Row],[Column12]])&gt;0,VLOOKUP(Table35791213467[[#This Row],[Column12]],AB_Table[],2),"")</f>
        <v/>
      </c>
      <c r="C54" s="30" t="str">
        <f>IF(COUNTIF(Table35791213467[Column12],A54)&gt;1,"DOUBLE","")</f>
        <v/>
      </c>
    </row>
    <row r="55" spans="1:3" x14ac:dyDescent="0.25">
      <c r="A55" s="38"/>
      <c r="B55" s="19" t="str">
        <f>IF(COUNTIF(AB_Table[],Table35791213467[[#This Row],[Column12]])&gt;0,VLOOKUP(Table35791213467[[#This Row],[Column12]],AB_Table[],2),"")</f>
        <v/>
      </c>
      <c r="C55" s="30" t="str">
        <f>IF(COUNTIF(Table35791213467[Column12],A55)&gt;1,"DOUBLE","")</f>
        <v/>
      </c>
    </row>
    <row r="56" spans="1:3" x14ac:dyDescent="0.25">
      <c r="A56" s="35"/>
      <c r="B56" s="19" t="str">
        <f>IF(COUNTIF(AB_Table[],Table35791213467[[#This Row],[Column12]])&gt;0,VLOOKUP(Table35791213467[[#This Row],[Column12]],AB_Table[],2),"")</f>
        <v/>
      </c>
      <c r="C56" s="30" t="str">
        <f>IF(COUNTIF(Table35791213467[Column12],A56)&gt;1,"DOUBLE","")</f>
        <v/>
      </c>
    </row>
    <row r="57" spans="1:3" x14ac:dyDescent="0.25">
      <c r="A57" s="37"/>
      <c r="B57" s="19" t="str">
        <f>IF(COUNTIF(AB_Table[],Table35791213467[[#This Row],[Column12]])&gt;0,VLOOKUP(Table35791213467[[#This Row],[Column12]],AB_Table[],2),"")</f>
        <v/>
      </c>
      <c r="C57" s="30" t="str">
        <f>IF(COUNTIF(Table35791213467[Column12],A57)&gt;1,"DOUBLE","")</f>
        <v/>
      </c>
    </row>
    <row r="58" spans="1:3" x14ac:dyDescent="0.25">
      <c r="A58" s="35"/>
      <c r="B58" s="19" t="str">
        <f>IF(COUNTIF(AB_Table[],Table35791213467[[#This Row],[Column12]])&gt;0,VLOOKUP(Table35791213467[[#This Row],[Column12]],AB_Table[],2),"")</f>
        <v/>
      </c>
      <c r="C58" s="30" t="str">
        <f>IF(COUNTIF(Table35791213467[Column12],A58)&gt;1,"DOUBLE","")</f>
        <v/>
      </c>
    </row>
    <row r="59" spans="1:3" x14ac:dyDescent="0.25">
      <c r="A59" s="35"/>
      <c r="B59" s="19" t="str">
        <f>IF(COUNTIF(AB_Table[],Table35791213467[[#This Row],[Column12]])&gt;0,VLOOKUP(Table35791213467[[#This Row],[Column12]],AB_Table[],2),"")</f>
        <v/>
      </c>
      <c r="C59" s="30" t="str">
        <f>IF(COUNTIF(Table35791213467[Column12],A59)&gt;1,"DOUBLE","")</f>
        <v/>
      </c>
    </row>
    <row r="60" spans="1:3" x14ac:dyDescent="0.25">
      <c r="A60" s="35"/>
      <c r="B60" s="19" t="str">
        <f>IF(COUNTIF(AB_Table[],Table35791213467[[#This Row],[Column12]])&gt;0,VLOOKUP(Table35791213467[[#This Row],[Column12]],AB_Table[],2),"")</f>
        <v/>
      </c>
      <c r="C60" s="30" t="str">
        <f>IF(COUNTIF(Table35791213467[Column12],A60)&gt;1,"DOUBLE","")</f>
        <v/>
      </c>
    </row>
    <row r="61" spans="1:3" x14ac:dyDescent="0.25">
      <c r="A61" s="35"/>
      <c r="B61" s="19" t="str">
        <f>IF(COUNTIF(AB_Table[],Table35791213467[[#This Row],[Column12]])&gt;0,VLOOKUP(Table35791213467[[#This Row],[Column12]],AB_Table[],2),"")</f>
        <v/>
      </c>
      <c r="C61" s="30" t="str">
        <f>IF(COUNTIF(Table35791213467[Column12],A61)&gt;1,"DOUBLE","")</f>
        <v/>
      </c>
    </row>
    <row r="62" spans="1:3" x14ac:dyDescent="0.25">
      <c r="A62" s="35"/>
      <c r="B62" s="19" t="str">
        <f>IF(COUNTIF(AB_Table[],Table35791213467[[#This Row],[Column12]])&gt;0,VLOOKUP(Table35791213467[[#This Row],[Column12]],AB_Table[],2),"")</f>
        <v/>
      </c>
      <c r="C62" s="30" t="str">
        <f>IF(COUNTIF(Table35791213467[Column12],A62)&gt;1,"DOUBLE","")</f>
        <v/>
      </c>
    </row>
    <row r="63" spans="1:3" x14ac:dyDescent="0.25">
      <c r="A63" s="35"/>
      <c r="B63" s="19" t="str">
        <f>IF(COUNTIF(AB_Table[],Table35791213467[[#This Row],[Column12]])&gt;0,VLOOKUP(Table35791213467[[#This Row],[Column12]],AB_Table[],2),"")</f>
        <v/>
      </c>
      <c r="C63" s="30" t="str">
        <f>IF(COUNTIF(Table35791213467[Column12],A63)&gt;1,"DOUBLE","")</f>
        <v/>
      </c>
    </row>
    <row r="64" spans="1:3" x14ac:dyDescent="0.25">
      <c r="A64" s="35"/>
      <c r="B64" s="19" t="str">
        <f>IF(COUNTIF(AB_Table[],Table35791213467[[#This Row],[Column12]])&gt;0,VLOOKUP(Table35791213467[[#This Row],[Column12]],AB_Table[],2),"")</f>
        <v/>
      </c>
      <c r="C64" s="30" t="str">
        <f>IF(COUNTIF(Table35791213467[Column12],A64)&gt;1,"DOUBLE","")</f>
        <v/>
      </c>
    </row>
    <row r="65" spans="1:3" x14ac:dyDescent="0.25">
      <c r="A65" s="35"/>
      <c r="B65" s="19" t="str">
        <f>IF(COUNTIF(AB_Table[],Table35791213467[[#This Row],[Column12]])&gt;0,VLOOKUP(Table35791213467[[#This Row],[Column12]],AB_Table[],2),"")</f>
        <v/>
      </c>
      <c r="C65" s="30" t="str">
        <f>IF(COUNTIF(Table35791213467[Column12],A65)&gt;1,"DOUBLE","")</f>
        <v/>
      </c>
    </row>
    <row r="66" spans="1:3" x14ac:dyDescent="0.25">
      <c r="A66" s="35"/>
      <c r="B66" s="19" t="str">
        <f>IF(COUNTIF(AB_Table[],Table35791213467[[#This Row],[Column12]])&gt;0,VLOOKUP(Table35791213467[[#This Row],[Column12]],AB_Table[],2),"")</f>
        <v/>
      </c>
      <c r="C66" s="30" t="str">
        <f>IF(COUNTIF(Table35791213467[Column12],A66)&gt;1,"DOUBLE","")</f>
        <v/>
      </c>
    </row>
    <row r="67" spans="1:3" x14ac:dyDescent="0.25">
      <c r="A67" s="35"/>
      <c r="B67" s="19" t="str">
        <f>IF(COUNTIF(AB_Table[],Table35791213467[[#This Row],[Column12]])&gt;0,VLOOKUP(Table35791213467[[#This Row],[Column12]],AB_Table[],2),"")</f>
        <v/>
      </c>
      <c r="C67" s="30" t="str">
        <f>IF(COUNTIF(Table35791213467[Column12],A67)&gt;1,"DOUBLE","")</f>
        <v/>
      </c>
    </row>
    <row r="68" spans="1:3" x14ac:dyDescent="0.25">
      <c r="A68" s="37"/>
      <c r="B68" s="19" t="str">
        <f>IF(COUNTIF(AB_Table[],Table35791213467[[#This Row],[Column12]])&gt;0,VLOOKUP(Table35791213467[[#This Row],[Column12]],AB_Table[],2),"")</f>
        <v/>
      </c>
      <c r="C68" s="30" t="str">
        <f>IF(COUNTIF(Table35791213467[Column12],A68)&gt;1,"DOUBLE","")</f>
        <v/>
      </c>
    </row>
    <row r="69" spans="1:3" x14ac:dyDescent="0.25">
      <c r="A69" s="37"/>
      <c r="B69" s="19" t="str">
        <f>IF(COUNTIF(AB_Table[],Table35791213467[[#This Row],[Column12]])&gt;0,VLOOKUP(Table35791213467[[#This Row],[Column12]],AB_Table[],2),"")</f>
        <v/>
      </c>
      <c r="C69" s="30" t="str">
        <f>IF(COUNTIF(Table35791213467[Column12],A69)&gt;1,"DOUBLE","")</f>
        <v/>
      </c>
    </row>
    <row r="70" spans="1:3" x14ac:dyDescent="0.25">
      <c r="A70" s="35"/>
      <c r="B70" s="19" t="str">
        <f>IF(COUNTIF(AB_Table[],Table35791213467[[#This Row],[Column12]])&gt;0,VLOOKUP(Table35791213467[[#This Row],[Column12]],AB_Table[],2),"")</f>
        <v/>
      </c>
      <c r="C70" s="30" t="str">
        <f>IF(COUNTIF(Table35791213467[Column12],A70)&gt;1,"DOUBLE","")</f>
        <v/>
      </c>
    </row>
    <row r="71" spans="1:3" x14ac:dyDescent="0.25">
      <c r="A71" s="35"/>
      <c r="B71" s="19" t="str">
        <f>IF(COUNTIF(AB_Table[],Table35791213467[[#This Row],[Column12]])&gt;0,VLOOKUP(Table35791213467[[#This Row],[Column12]],AB_Table[],2),"")</f>
        <v/>
      </c>
      <c r="C71" s="30" t="str">
        <f>IF(COUNTIF(Table35791213467[Column12],A71)&gt;1,"DOUBLE","")</f>
        <v/>
      </c>
    </row>
    <row r="72" spans="1:3" x14ac:dyDescent="0.25">
      <c r="A72" s="35"/>
      <c r="B72" s="19" t="str">
        <f>IF(COUNTIF(AB_Table[],Table35791213467[[#This Row],[Column12]])&gt;0,VLOOKUP(Table35791213467[[#This Row],[Column12]],AB_Table[],2),"")</f>
        <v/>
      </c>
      <c r="C72" s="30" t="str">
        <f>IF(COUNTIF(Table35791213467[Column12],A72)&gt;1,"DOUBLE","")</f>
        <v/>
      </c>
    </row>
    <row r="73" spans="1:3" x14ac:dyDescent="0.25">
      <c r="A73" s="35"/>
      <c r="B73" s="19" t="str">
        <f>IF(COUNTIF(AB_Table[],Table35791213467[[#This Row],[Column12]])&gt;0,VLOOKUP(Table35791213467[[#This Row],[Column12]],AB_Table[],2),"")</f>
        <v/>
      </c>
      <c r="C73" s="30" t="str">
        <f>IF(COUNTIF(Table35791213467[Column12],A73)&gt;1,"DOUBLE","")</f>
        <v/>
      </c>
    </row>
    <row r="74" spans="1:3" x14ac:dyDescent="0.25">
      <c r="A74" s="35"/>
      <c r="B74" s="19" t="str">
        <f>IF(COUNTIF(AB_Table[],Table35791213467[[#This Row],[Column12]])&gt;0,VLOOKUP(Table35791213467[[#This Row],[Column12]],AB_Table[],2),"")</f>
        <v/>
      </c>
      <c r="C74" s="30" t="str">
        <f>IF(COUNTIF(Table35791213467[Column12],A74)&gt;1,"DOUBLE","")</f>
        <v/>
      </c>
    </row>
    <row r="75" spans="1:3" x14ac:dyDescent="0.25">
      <c r="A75" s="35"/>
      <c r="B75" s="19" t="str">
        <f>IF(COUNTIF(AB_Table[],Table35791213467[[#This Row],[Column12]])&gt;0,VLOOKUP(Table35791213467[[#This Row],[Column12]],AB_Table[],2),"")</f>
        <v/>
      </c>
      <c r="C75" s="30" t="str">
        <f>IF(COUNTIF(Table35791213467[Column12],A75)&gt;1,"DOUBLE","")</f>
        <v/>
      </c>
    </row>
    <row r="76" spans="1:3" x14ac:dyDescent="0.25">
      <c r="A76" s="35"/>
      <c r="B76" s="19" t="str">
        <f>IF(COUNTIF(AB_Table[],Table35791213467[[#This Row],[Column12]])&gt;0,VLOOKUP(Table35791213467[[#This Row],[Column12]],AB_Table[],2),"")</f>
        <v/>
      </c>
      <c r="C76" s="30" t="str">
        <f>IF(COUNTIF(Table35791213467[Column12],A76)&gt;1,"DOUBLE","")</f>
        <v/>
      </c>
    </row>
    <row r="77" spans="1:3" x14ac:dyDescent="0.25">
      <c r="A77" s="35"/>
      <c r="B77" s="19" t="str">
        <f>IF(COUNTIF(AB_Table[],Table35791213467[[#This Row],[Column12]])&gt;0,VLOOKUP(Table35791213467[[#This Row],[Column12]],AB_Table[],2),"")</f>
        <v/>
      </c>
      <c r="C77" s="30" t="str">
        <f>IF(COUNTIF(Table35791213467[Column12],A77)&gt;1,"DOUBLE","")</f>
        <v/>
      </c>
    </row>
    <row r="78" spans="1:3" x14ac:dyDescent="0.25">
      <c r="A78" s="35"/>
      <c r="B78" s="19" t="str">
        <f>IF(COUNTIF(AB_Table[],Table35791213467[[#This Row],[Column12]])&gt;0,VLOOKUP(Table35791213467[[#This Row],[Column12]],AB_Table[],2),"")</f>
        <v/>
      </c>
      <c r="C78" s="30" t="str">
        <f>IF(COUNTIF(Table35791213467[Column12],A78)&gt;1,"DOUBLE","")</f>
        <v/>
      </c>
    </row>
    <row r="79" spans="1:3" x14ac:dyDescent="0.25">
      <c r="A79" s="35"/>
      <c r="B79" s="19" t="str">
        <f>IF(COUNTIF(AB_Table[],Table35791213467[[#This Row],[Column12]])&gt;0,VLOOKUP(Table35791213467[[#This Row],[Column12]],AB_Table[],2),"")</f>
        <v/>
      </c>
      <c r="C79" s="30" t="str">
        <f>IF(COUNTIF(Table35791213467[Column12],A79)&gt;1,"DOUBLE","")</f>
        <v/>
      </c>
    </row>
    <row r="80" spans="1:3" x14ac:dyDescent="0.25">
      <c r="A80" s="37"/>
      <c r="B80" s="19" t="str">
        <f>IF(COUNTIF(AB_Table[],Table35791213467[[#This Row],[Column12]])&gt;0,VLOOKUP(Table35791213467[[#This Row],[Column12]],AB_Table[],2),"")</f>
        <v/>
      </c>
      <c r="C80" s="30" t="str">
        <f>IF(COUNTIF(Table35791213467[Column12],A80)&gt;1,"DOUBLE","")</f>
        <v/>
      </c>
    </row>
    <row r="81" spans="1:3" x14ac:dyDescent="0.25">
      <c r="A81" s="35"/>
      <c r="B81" s="19" t="str">
        <f>IF(COUNTIF(AB_Table[],Table35791213467[[#This Row],[Column12]])&gt;0,VLOOKUP(Table35791213467[[#This Row],[Column12]],AB_Table[],2),"")</f>
        <v/>
      </c>
      <c r="C81" s="30" t="str">
        <f>IF(COUNTIF(Table35791213467[Column12],A81)&gt;1,"DOUBLE","")</f>
        <v/>
      </c>
    </row>
    <row r="82" spans="1:3" x14ac:dyDescent="0.25">
      <c r="A82" s="37"/>
      <c r="B82" s="19" t="str">
        <f>IF(COUNTIF(AB_Table[],Table35791213467[[#This Row],[Column12]])&gt;0,VLOOKUP(Table35791213467[[#This Row],[Column12]],AB_Table[],2),"")</f>
        <v/>
      </c>
      <c r="C82" s="30" t="str">
        <f>IF(COUNTIF(Table35791213467[Column12],A82)&gt;1,"DOUBLE","")</f>
        <v/>
      </c>
    </row>
    <row r="83" spans="1:3" x14ac:dyDescent="0.25">
      <c r="A83" s="35"/>
      <c r="B83" s="19" t="str">
        <f>IF(COUNTIF(AB_Table[],Table35791213467[[#This Row],[Column12]])&gt;0,VLOOKUP(Table35791213467[[#This Row],[Column12]],AB_Table[],2),"")</f>
        <v/>
      </c>
      <c r="C83" s="30" t="str">
        <f>IF(COUNTIF(Table35791213467[Column12],A83)&gt;1,"DOUBLE","")</f>
        <v/>
      </c>
    </row>
    <row r="84" spans="1:3" x14ac:dyDescent="0.25">
      <c r="A84" s="35"/>
      <c r="B84" s="19" t="str">
        <f>IF(COUNTIF(AB_Table[],Table35791213467[[#This Row],[Column12]])&gt;0,VLOOKUP(Table35791213467[[#This Row],[Column12]],AB_Table[],2),"")</f>
        <v/>
      </c>
      <c r="C84" s="30" t="str">
        <f>IF(COUNTIF(Table35791213467[Column12],A84)&gt;1,"DOUBLE","")</f>
        <v/>
      </c>
    </row>
    <row r="85" spans="1:3" x14ac:dyDescent="0.25">
      <c r="A85" s="43"/>
      <c r="B85" s="19" t="str">
        <f>IF(COUNTIF(AB_Table[],Table35791213467[[#This Row],[Column12]])&gt;0,VLOOKUP(Table35791213467[[#This Row],[Column12]],AB_Table[],2),"")</f>
        <v/>
      </c>
      <c r="C85" s="30" t="str">
        <f>IF(COUNTIF(Table35791213467[Column12],A85)&gt;1,"DOUBLE","")</f>
        <v/>
      </c>
    </row>
    <row r="86" spans="1:3" x14ac:dyDescent="0.25">
      <c r="A86" s="35"/>
      <c r="B86" s="19" t="str">
        <f>IF(COUNTIF(AB_Table[],Table35791213467[[#This Row],[Column12]])&gt;0,VLOOKUP(Table35791213467[[#This Row],[Column12]],AB_Table[],2),"")</f>
        <v/>
      </c>
      <c r="C86" s="30" t="str">
        <f>IF(COUNTIF(Table35791213467[Column12],A86)&gt;1,"DOUBLE","")</f>
        <v/>
      </c>
    </row>
    <row r="87" spans="1:3" x14ac:dyDescent="0.25">
      <c r="A87" s="35"/>
      <c r="B87" s="19" t="str">
        <f>IF(COUNTIF(AB_Table[],Table35791213467[[#This Row],[Column12]])&gt;0,VLOOKUP(Table35791213467[[#This Row],[Column12]],AB_Table[],2),"")</f>
        <v/>
      </c>
      <c r="C87" s="30" t="str">
        <f>IF(COUNTIF(Table35791213467[Column12],A87)&gt;1,"DOUBLE","")</f>
        <v/>
      </c>
    </row>
    <row r="88" spans="1:3" x14ac:dyDescent="0.25">
      <c r="A88" s="37"/>
      <c r="B88" s="19" t="str">
        <f>IF(COUNTIF(AB_Table[],Table35791213467[[#This Row],[Column12]])&gt;0,VLOOKUP(Table35791213467[[#This Row],[Column12]],AB_Table[],2),"")</f>
        <v/>
      </c>
      <c r="C88" s="30" t="str">
        <f>IF(COUNTIF(Table35791213467[Column12],A88)&gt;1,"DOUBLE","")</f>
        <v/>
      </c>
    </row>
    <row r="89" spans="1:3" x14ac:dyDescent="0.25">
      <c r="A89" s="35"/>
      <c r="B89" s="19" t="str">
        <f>IF(COUNTIF(AB_Table[],Table35791213467[[#This Row],[Column12]])&gt;0,VLOOKUP(Table35791213467[[#This Row],[Column12]],AB_Table[],2),"")</f>
        <v/>
      </c>
      <c r="C89" s="30" t="str">
        <f>IF(COUNTIF(Table35791213467[Column12],A89)&gt;1,"DOUBLE","")</f>
        <v/>
      </c>
    </row>
    <row r="90" spans="1:3" x14ac:dyDescent="0.25">
      <c r="A90" s="35"/>
      <c r="B90" s="19" t="str">
        <f>IF(COUNTIF(AB_Table[],Table35791213467[[#This Row],[Column12]])&gt;0,VLOOKUP(Table35791213467[[#This Row],[Column12]],AB_Table[],2),"")</f>
        <v/>
      </c>
      <c r="C90" s="30" t="str">
        <f>IF(COUNTIF(Table35791213467[Column12],A90)&gt;1,"DOUBLE","")</f>
        <v/>
      </c>
    </row>
    <row r="91" spans="1:3" x14ac:dyDescent="0.25">
      <c r="A91" s="35"/>
      <c r="B91" s="19" t="str">
        <f>IF(COUNTIF(AB_Table[],Table35791213467[[#This Row],[Column12]])&gt;0,VLOOKUP(Table35791213467[[#This Row],[Column12]],AB_Table[],2),"")</f>
        <v/>
      </c>
      <c r="C91" s="30" t="str">
        <f>IF(COUNTIF(Table35791213467[Column12],A91)&gt;1,"DOUBLE","")</f>
        <v/>
      </c>
    </row>
    <row r="92" spans="1:3" x14ac:dyDescent="0.25">
      <c r="A92" s="37"/>
      <c r="B92" s="19" t="str">
        <f>IF(COUNTIF(AB_Table[],Table35791213467[[#This Row],[Column12]])&gt;0,VLOOKUP(Table35791213467[[#This Row],[Column12]],AB_Table[],2),"")</f>
        <v/>
      </c>
      <c r="C92" s="30" t="str">
        <f>IF(COUNTIF(Table35791213467[Column12],A92)&gt;1,"DOUBLE","")</f>
        <v/>
      </c>
    </row>
    <row r="93" spans="1:3" x14ac:dyDescent="0.25">
      <c r="A93" s="35"/>
      <c r="B93" s="19" t="str">
        <f>IF(COUNTIF(AB_Table[],Table35791213467[[#This Row],[Column12]])&gt;0,VLOOKUP(Table35791213467[[#This Row],[Column12]],AB_Table[],2),"")</f>
        <v/>
      </c>
      <c r="C93" s="30" t="str">
        <f>IF(COUNTIF(Table35791213467[Column12],A93)&gt;1,"DOUBLE","")</f>
        <v/>
      </c>
    </row>
    <row r="94" spans="1:3" x14ac:dyDescent="0.25">
      <c r="A94" s="35"/>
      <c r="B94" s="19" t="str">
        <f>IF(COUNTIF(AB_Table[],Table35791213467[[#This Row],[Column12]])&gt;0,VLOOKUP(Table35791213467[[#This Row],[Column12]],AB_Table[],2),"")</f>
        <v/>
      </c>
      <c r="C94" s="30" t="str">
        <f>IF(COUNTIF(Table35791213467[Column12],A94)&gt;1,"DOUBLE","")</f>
        <v/>
      </c>
    </row>
    <row r="95" spans="1:3" x14ac:dyDescent="0.25">
      <c r="A95" s="35"/>
      <c r="B95" s="19" t="str">
        <f>IF(COUNTIF(AB_Table[],Table35791213467[[#This Row],[Column12]])&gt;0,VLOOKUP(Table35791213467[[#This Row],[Column12]],AB_Table[],2),"")</f>
        <v/>
      </c>
      <c r="C95" s="30" t="str">
        <f>IF(COUNTIF(Table35791213467[Column12],A95)&gt;1,"DOUBLE","")</f>
        <v/>
      </c>
    </row>
    <row r="96" spans="1:3" x14ac:dyDescent="0.25">
      <c r="A96" s="35"/>
      <c r="B96" s="19" t="str">
        <f>IF(COUNTIF(AB_Table[],Table35791213467[[#This Row],[Column12]])&gt;0,VLOOKUP(Table35791213467[[#This Row],[Column12]],AB_Table[],2),"")</f>
        <v/>
      </c>
      <c r="C96" s="30" t="str">
        <f>IF(COUNTIF(Table35791213467[Column12],A96)&gt;1,"DOUBLE","")</f>
        <v/>
      </c>
    </row>
    <row r="97" spans="1:3" x14ac:dyDescent="0.25">
      <c r="A97" s="35"/>
      <c r="B97" s="19" t="str">
        <f>IF(COUNTIF(AB_Table[],Table35791213467[[#This Row],[Column12]])&gt;0,VLOOKUP(Table35791213467[[#This Row],[Column12]],AB_Table[],2),"")</f>
        <v/>
      </c>
      <c r="C97" s="30" t="str">
        <f>IF(COUNTIF(Table35791213467[Column12],A97)&gt;1,"DOUBLE","")</f>
        <v/>
      </c>
    </row>
    <row r="98" spans="1:3" x14ac:dyDescent="0.25">
      <c r="A98" s="35"/>
      <c r="B98" s="19" t="str">
        <f>IF(COUNTIF(AB_Table[],Table35791213467[[#This Row],[Column12]])&gt;0,VLOOKUP(Table35791213467[[#This Row],[Column12]],AB_Table[],2),"")</f>
        <v/>
      </c>
      <c r="C98" s="30" t="str">
        <f>IF(COUNTIF(Table35791213467[Column12],A98)&gt;1,"DOUBLE","")</f>
        <v/>
      </c>
    </row>
    <row r="99" spans="1:3" x14ac:dyDescent="0.25">
      <c r="A99" s="35"/>
      <c r="B99" s="19" t="str">
        <f>IF(COUNTIF(AB_Table[],Table35791213467[[#This Row],[Column12]])&gt;0,VLOOKUP(Table35791213467[[#This Row],[Column12]],AB_Table[],2),"")</f>
        <v/>
      </c>
      <c r="C99" s="30" t="str">
        <f>IF(COUNTIF(Table35791213467[Column12],A99)&gt;1,"DOUBLE","")</f>
        <v/>
      </c>
    </row>
    <row r="100" spans="1:3" x14ac:dyDescent="0.25">
      <c r="A100" s="42"/>
      <c r="B100" s="18" t="str">
        <f>IF(COUNTIF(AB_Table[],Table35791213467[[#This Row],[Column12]])&gt;0,VLOOKUP(Table35791213467[[#This Row],[Column12]],AB_Table[],2),"")</f>
        <v/>
      </c>
      <c r="C100" s="30" t="str">
        <f>IF(COUNTIF(Table35791213467[Column12],A100)&gt;1,"DOUBLE","")</f>
        <v/>
      </c>
    </row>
    <row r="101" spans="1:3" x14ac:dyDescent="0.25">
      <c r="A101" s="42"/>
      <c r="B101" s="18" t="str">
        <f>IF(COUNTIF(AB_Table[],Table35791213467[[#This Row],[Column12]])&gt;0,VLOOKUP(Table35791213467[[#This Row],[Column12]],AB_Table[],2),"")</f>
        <v/>
      </c>
      <c r="C101" s="30" t="str">
        <f>IF(COUNTIF(Table35791213467[Column12],A101)&gt;1,"DOUBLE","")</f>
        <v/>
      </c>
    </row>
    <row r="102" spans="1:3" x14ac:dyDescent="0.25">
      <c r="A102" s="42"/>
      <c r="B102" s="18" t="str">
        <f>IF(COUNTIF(AB_Table[],Table35791213467[[#This Row],[Column12]])&gt;0,VLOOKUP(Table35791213467[[#This Row],[Column12]],AB_Table[],2),"")</f>
        <v/>
      </c>
      <c r="C102" s="30" t="str">
        <f>IF(COUNTIF(Table35791213467[Column12],A102)&gt;1,"DOUBLE","")</f>
        <v/>
      </c>
    </row>
    <row r="103" spans="1:3" x14ac:dyDescent="0.25">
      <c r="A103" s="42"/>
      <c r="B103" s="18" t="str">
        <f>IF(COUNTIF(AB_Table[],Table35791213467[[#This Row],[Column12]])&gt;0,VLOOKUP(Table35791213467[[#This Row],[Column12]],AB_Table[],2),"")</f>
        <v/>
      </c>
      <c r="C103" s="30" t="str">
        <f>IF(COUNTIF(Table35791213467[Column12],A103)&gt;1,"DOUBLE","")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E27" sqref="E27"/>
    </sheetView>
  </sheetViews>
  <sheetFormatPr defaultRowHeight="15" x14ac:dyDescent="0.25"/>
  <cols>
    <col min="1" max="1" width="14.7109375" customWidth="1"/>
    <col min="2" max="2" width="27.140625" bestFit="1" customWidth="1"/>
    <col min="3" max="3" width="11" customWidth="1"/>
  </cols>
  <sheetData>
    <row r="1" spans="1:3" x14ac:dyDescent="0.25">
      <c r="A1" s="63" t="s">
        <v>947</v>
      </c>
      <c r="B1" s="64" t="s">
        <v>948</v>
      </c>
      <c r="C1" t="s">
        <v>949</v>
      </c>
    </row>
    <row r="2" spans="1:3" x14ac:dyDescent="0.25">
      <c r="A2" s="45"/>
      <c r="B2" s="19" t="str">
        <f>IF(COUNTIF(AB_Table[],Table35[[#This Row],[Abbreviation]])&gt;0,VLOOKUP(Table35[[#This Row],[Abbreviation]],AB_Table[],2),"")</f>
        <v/>
      </c>
      <c r="C2" s="18" t="str">
        <f>IF(COUNTIF(Table35[Abbreviation],A2)&gt;1,"DOUBLE","")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MakeTwoColumns">
                <anchor moveWithCells="1" sizeWithCells="1">
                  <from>
                    <xdr:col>4</xdr:col>
                    <xdr:colOff>19050</xdr:colOff>
                    <xdr:row>0</xdr:row>
                    <xdr:rowOff>9525</xdr:rowOff>
                  </from>
                  <to>
                    <xdr:col>5</xdr:col>
                    <xdr:colOff>590550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General</vt:lpstr>
      <vt:lpstr>IgnoreWords</vt:lpstr>
      <vt:lpstr>Button</vt:lpstr>
      <vt:lpstr>cCOREe</vt:lpstr>
      <vt:lpstr>Out</vt:lpstr>
    </vt:vector>
  </TitlesOfParts>
  <Company>CH2M HILL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ГПИ ГПИ</dc:creator>
  <cp:lastModifiedBy>ГПИ ГПИ</cp:lastModifiedBy>
  <dcterms:created xsi:type="dcterms:W3CDTF">2019-03-26T00:22:38Z</dcterms:created>
  <dcterms:modified xsi:type="dcterms:W3CDTF">2019-09-05T02:31:02Z</dcterms:modified>
</cp:coreProperties>
</file>